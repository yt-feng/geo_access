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f1e0416e0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e9489ef7bd40f6"/>
    <x:sheet xmlns:r="http://schemas.openxmlformats.org/officeDocument/2006/relationships" name="Research" sheetId="2" r:id="R973a6eb1b67446b2"/>
    <x:sheet xmlns:r="http://schemas.openxmlformats.org/officeDocument/2006/relationships" name="Shortlist" sheetId="3" r:id="Rf3665dca5345452f"/>
    <x:sheet xmlns:r="http://schemas.openxmlformats.org/officeDocument/2006/relationships" name="Scoring" sheetId="4" r:id="Raa2e0209cb784ba6"/>
    <x:sheet xmlns:r="http://schemas.openxmlformats.org/officeDocument/2006/relationships" name="Exclusions" sheetId="5" r:id="R4393a7a647f0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b9d2dbef94bbd" /><Relationship Type="http://schemas.openxmlformats.org/officeDocument/2006/relationships/theme" Target="/xl/theme/theme1.xml" Id="Raf3c237c73a54f5b" /><Relationship Type="http://schemas.openxmlformats.org/officeDocument/2006/relationships/sharedStrings" Target="/xl/sharedStrings.xml" Id="Rb657d28021024e0c" /><Relationship Type="http://schemas.openxmlformats.org/officeDocument/2006/relationships/worksheet" Target="/xl/worksheets/sheet1.xml" Id="R53e9489ef7bd40f6" /><Relationship Type="http://schemas.openxmlformats.org/officeDocument/2006/relationships/worksheet" Target="/xl/worksheets/sheet2.xml" Id="R973a6eb1b67446b2" /><Relationship Type="http://schemas.openxmlformats.org/officeDocument/2006/relationships/worksheet" Target="/xl/worksheets/sheet3.xml" Id="Rf3665dca5345452f" /><Relationship Type="http://schemas.openxmlformats.org/officeDocument/2006/relationships/worksheet" Target="/xl/worksheets/sheet4.xml" Id="Raa2e0209cb784ba6" /><Relationship Type="http://schemas.openxmlformats.org/officeDocument/2006/relationships/worksheet" Target="/xl/worksheets/sheet5.xml" Id="R4393a7a647f04573" /></Relationships>
</file>

<file path=xl/tables/table1.xml><?xml version="1.0" encoding="utf-8"?>
<x:table xmlns:x="http://schemas.openxmlformats.org/spreadsheetml/2006/main" id="1" name="ResearchTable" displayName="ResearchTable" ref="A1:Q38" headerRowCount="1">
  <x:tableColumns count="17">
    <x:tableColumn id="1" name="Repo"/>
    <x:tableColumn id="2" name="URL"/>
    <x:tableColumn id="3" name="Category"/>
    <x:tableColumn id="4" name="Subtype"/>
    <x:tableColumn id="5" name="What it does"/>
    <x:tableColumn id="6" name="GEO/AIO fit"/>
    <x:tableColumn id="7" name="Stack"/>
    <x:tableColumn id="8" name="Completeness"/>
    <x:tableColumn id="9" name="Readiness"/>
    <x:tableColumn id="10" name="Relevance"/>
    <x:tableColumn id="11" name="Overall score"/>
    <x:tableColumn id="12" name="Recommended use"/>
    <x:tableColumn id="13" name="Risks / caveats"/>
    <x:tableColumn id="14" name="Evidence / source"/>
    <x:tableColumn id="15" name="Priority"/>
    <x:tableColumn id="16" name="Size / signal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hortlistTable" displayName="ShortlistTable" ref="A1:D8" headerRowCount="1">
  <x:tableColumns count="4">
    <x:tableColumn id="1" name="Use case"/>
    <x:tableColumn id="2" name="Recommended repos"/>
    <x:tableColumn id="3" name="Why"/>
    <x:tableColumn id="4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ScoringTable" displayName="ScoringTable" ref="A1:B7" headerRowCount="1">
  <x:tableColumns count="2">
    <x:tableColumn id="1" name="Dimension"/>
    <x:tableColumn id="2" name="Meaning"/>
  </x:tableColumns>
  <x:tableStyleInfo name="TableStyleMedium2" showRowStripes="1"/>
</x:table>
</file>

<file path=xl/tables/table4.xml><?xml version="1.0" encoding="utf-8"?>
<x:table xmlns:x="http://schemas.openxmlformats.org/spreadsheetml/2006/main" id="4" name="ExclusionsTable" displayName="ExclusionsTable" ref="A1:C7" headerRowCount="1">
  <x:tableColumns count="3">
    <x:tableColumn id="1" name="Bucket"/>
    <x:tableColumn id="2" name="Decision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85c9a4ab3346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6a70b9772946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df1544c2d943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aa8ac662b247c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19.200000762939453" hidden="0" customHeight="1">
      <x:c r="A1" s="16" t="str">
        <x:v>GitHub GEO / AIO / LLM Optimization Repo Research</x:v>
      </x:c>
    </x:row>
    <x:row r="2"/>
    <x:row r="3" ht="15" hidden="0" customHeight="1">
      <x:c r="A3" t="str">
        <x:v>Scope</x:v>
      </x:c>
      <x:c r="B3" t="str">
        <x:v>GEO/AIO here means Generative Engine Optimization, AI Overview Optimization, Answer Engine Optimization, LLMO, llms.txt, and LLM-readable content infrastructure. GeoIP and geospatial projects are excluded.</x:v>
      </x:c>
    </x:row>
    <x:row r="4"/>
    <x:row r="5" ht="15" hidden="0" customHeight="1">
      <x:c r="A5" s="24" t="str">
        <x:v>Total repos</x:v>
      </x:c>
      <x:c r="B5" s="24" t="n">
        <x:f>COUNTA(Research!A2:A200)</x:f>
        <x:v>37</x:v>
      </x:c>
      <x:c r="D5" s="3" t="str">
        <x:v>Key findings</x:v>
      </x:c>
      <x:c r="E5"/>
      <x:c r="F5"/>
      <x:c r="G5"/>
      <x:c r="H5"/>
    </x:row>
    <x:row r="6" ht="39.599998474121094" hidden="0" customHeight="1">
      <x:c r="A6" s="24" t="str">
        <x:v>Priority A</x:v>
      </x:c>
      <x:c r="B6" s="24" t="n">
        <x:f>COUNTIF(Research!O2:O200,"A")</x:f>
        <x:v>12</x:v>
      </x:c>
      <x:c r="D6" s="12" t="str">
        <x:v>1</x:v>
      </x:c>
      <x:c r="E6" s="12" t="str">
        <x:v>The most production-ready layer is llms.txt generation and static-doc plugins.</x:v>
      </x:c>
      <x:c r="F6" s="12"/>
      <x:c r="G6" s="12"/>
      <x:c r="H6" s="12"/>
    </x:row>
    <x:row r="7" ht="52.79999923706055" hidden="0" customHeight="1">
      <x:c r="A7" s="24" t="str">
        <x:v>Priority B</x:v>
      </x:c>
      <x:c r="B7" s="24" t="n">
        <x:f>COUNTIF(Research!O2:O200,"B")</x:f>
        <x:v>21</x:v>
      </x:c>
      <x:c r="D7" s="12" t="str">
        <x:v>2</x:v>
      </x:c>
      <x:c r="E7" s="12" t="str">
        <x:v>True GEO optimization is still research-heavy: GEO-optim/GEO, AgenticGEO, and MAGEO are the core references.</x:v>
      </x:c>
      <x:c r="F7" s="12"/>
      <x:c r="G7" s="12"/>
      <x:c r="H7" s="12"/>
    </x:row>
    <x:row r="8" ht="39.599998474121094" hidden="0" customHeight="1">
      <x:c r="A8" s="24" t="str">
        <x:v>Priority C</x:v>
      </x:c>
      <x:c r="B8" s="24" t="n">
        <x:f>COUNTIF(Research!O2:O200,"C")</x:f>
        <x:v>4</x:v>
      </x:c>
      <x:c r="D8" s="12" t="str">
        <x:v>3</x:v>
      </x:c>
      <x:c r="E8" s="12" t="str">
        <x:v>AIO/AEO product repos exist, but many need manual code and README validation before adoption.</x:v>
      </x:c>
      <x:c r="F8" s="12"/>
      <x:c r="G8" s="12"/>
      <x:c r="H8" s="12"/>
    </x:row>
    <x:row r="9" ht="52.79999923706055" hidden="0" customHeight="1">
      <x:c r="A9" s="24" t="str">
        <x:v>Average overall score</x:v>
      </x:c>
      <x:c r="B9" s="24" t="n">
        <x:f>ROUND(AVERAGE(Research!K2:K200),1)</x:f>
        <x:v>3.8</x:v>
      </x:c>
      <x:c r="D9" s="12" t="str">
        <x:v>4</x:v>
      </x:c>
      <x:c r="E9" s="12" t="str">
        <x:v>Do not assume llms.txt guarantees AI citations; treat it as one technical signal plus crawlability, schema, content quality, and monitoring.</x:v>
      </x:c>
      <x:c r="F9" s="12"/>
      <x:c r="G9" s="12"/>
      <x:c r="H9" s="12"/>
    </x:row>
    <x:row r="10" ht="52.79999923706055" hidden="0" customHeight="1">
      <x:c r="A10" s="24" t="str">
        <x:v>Generated on</x:v>
      </x:c>
      <x:c r="B10" s="25" t="n">
        <x:v>46170</x:v>
      </x:c>
      <x:c r="D10" s="12" t="str">
        <x:v>5</x:v>
      </x:c>
      <x:c r="E10" s="12" t="str">
        <x:v>For a practical stack: crawler/converter -&gt; llms.txt -&gt; structured docs/schema -&gt; LLM answer monitoring -&gt; content rewrite tests.</x:v>
      </x:c>
      <x:c r="F10" s="12"/>
      <x:c r="G10" s="12"/>
      <x:c r="H10" s="12"/>
    </x:row>
    <x:row r="11" ht="15" hidden="0" customHeight="1">
      <x:c r="D11" s="12"/>
      <x:c r="E11" s="12"/>
      <x:c r="F11" s="12"/>
      <x:c r="G11" s="12"/>
      <x:c r="H11" s="12"/>
    </x:row>
    <x:row r="12" ht="52.79999923706055" hidden="0" customHeight="1">
      <x:c r="A12" s="3" t="str">
        <x:v>Category</x:v>
      </x:c>
      <x:c r="B12" s="3" t="str">
        <x:v>Count</x:v>
      </x:c>
      <x:c r="D12" s="12" t="str">
        <x:v>Recommended first pass</x:v>
      </x:c>
      <x:c r="E12" s="12" t="str">
        <x:v>AnswerDotAI/llms-txt; firecrawl/llmstxt-generator; framework plugin matching your docs/CMS; GEO-optim/GEO; MAGEO; AgenticGEO.</x:v>
      </x:c>
      <x:c r="F12" s="12"/>
      <x:c r="G12" s="12"/>
      <x:c r="H12" s="12"/>
    </x:row>
    <x:row r="13" ht="66" hidden="0" customHeight="1">
      <x:c r="A13" s="30" t="str">
        <x:v>AEO / answer engine</x:v>
      </x:c>
      <x:c r="B13" s="30" t="n">
        <x:f>COUNTIF(Research!C2:C200,A13)</x:f>
        <x:v>1</x:v>
      </x:c>
      <x:c r="D13" s="12" t="str">
        <x:v>Caveat</x:v>
      </x:c>
      <x:c r="E13" s="12" t="str">
        <x:v>Repository metadata was checked from GitHub search/web-accessible pages where possible. Several low-star repos require final manual README/code review.</x:v>
      </x:c>
      <x:c r="F13" s="12"/>
      <x:c r="G13" s="12"/>
      <x:c r="H13" s="12"/>
    </x:row>
    <x:row r="14" ht="26.399999618530273" hidden="0" customHeight="1">
      <x:c r="A14" s="30" t="str">
        <x:v>AEO stack</x:v>
      </x:c>
      <x:c r="B14" s="30" t="n">
        <x:f>COUNTIF(Research!C2:C200,A14)</x:f>
        <x:v>1</x:v>
      </x:c>
      <x:c r="D14" s="12" t="str">
        <x:v>Old scope corrected</x:v>
      </x:c>
      <x:c r="E14" s="12" t="str">
        <x:v>The previous GeoIP spreadsheet is superseded by this GEO/AIO version.</x:v>
      </x:c>
      <x:c r="F14" s="12"/>
      <x:c r="G14" s="12"/>
      <x:c r="H14" s="12"/>
    </x:row>
    <x:row r="15" ht="15" hidden="0" customHeight="1">
      <x:c r="A15" s="30" t="str">
        <x:v>AIO analyzer</x:v>
      </x:c>
      <x:c r="B15" s="30" t="n">
        <x:f>COUNTIF(Research!C2:C200,A15)</x:f>
        <x:v>1</x:v>
      </x:c>
    </x:row>
    <x:row r="16" ht="15" hidden="0" customHeight="1">
      <x:c r="A16" s="30" t="str">
        <x:v>AIO product</x:v>
      </x:c>
      <x:c r="B16" s="30" t="n">
        <x:f>COUNTIF(Research!C2:C200,A16)</x:f>
        <x:v>1</x:v>
      </x:c>
    </x:row>
    <x:row r="17" ht="15" hidden="0" customHeight="1">
      <x:c r="A17" s="30" t="str">
        <x:v>CMS plugin</x:v>
      </x:c>
      <x:c r="B17" s="30" t="n">
        <x:f>COUNTIF(Research!C2:C200,A17)</x:f>
        <x:v>2</x:v>
      </x:c>
    </x:row>
    <x:row r="18" ht="15" hidden="0" customHeight="1">
      <x:c r="A18" s="30" t="str">
        <x:v>GEO / AIO product</x:v>
      </x:c>
      <x:c r="B18" s="30" t="n">
        <x:f>COUNTIF(Research!C2:C200,A18)</x:f>
        <x:v>1</x:v>
      </x:c>
    </x:row>
    <x:row r="19" ht="15" hidden="0" customHeight="1">
      <x:c r="A19" s="30" t="str">
        <x:v>GEO / agents</x:v>
      </x:c>
      <x:c r="B19" s="30" t="n">
        <x:f>COUNTIF(Research!C2:C200,A19)</x:f>
        <x:v>1</x:v>
      </x:c>
    </x:row>
    <x:row r="20" ht="15" hidden="0" customHeight="1">
      <x:c r="A20" s="30" t="str">
        <x:v>GEO / content optimizer</x:v>
      </x:c>
      <x:c r="B20" s="30" t="n">
        <x:f>COUNTIF(Research!C2:C200,A20)</x:f>
        <x:v>1</x:v>
      </x:c>
    </x:row>
    <x:row r="21" ht="15" hidden="0" customHeight="1">
      <x:c r="A21" s="30" t="str">
        <x:v>GEO checker</x:v>
      </x:c>
      <x:c r="B21" s="30" t="n">
        <x:f>COUNTIF(Research!C2:C200,A21)</x:f>
        <x:v>1</x:v>
      </x:c>
    </x:row>
    <x:row r="22" ht="15" hidden="0" customHeight="1">
      <x:c r="A22" s="30" t="str">
        <x:v>GEO rank tracking</x:v>
      </x:c>
      <x:c r="B22" s="30" t="n">
        <x:f>COUNTIF(Research!C2:C200,A22)</x:f>
        <x:v>1</x:v>
      </x:c>
    </x:row>
    <x:row r="23" ht="15" hidden="0" customHeight="1">
      <x:c r="A23" s="30" t="str">
        <x:v>GEO reporting</x:v>
      </x:c>
      <x:c r="B23" s="30" t="n">
        <x:f>COUNTIF(Research!C2:C200,A23)</x:f>
        <x:v>1</x:v>
      </x:c>
    </x:row>
    <x:row r="24" ht="15" hidden="0" customHeight="1">
      <x:c r="A24" s="30" t="str">
        <x:v>LLM-oriented crawling</x:v>
      </x:c>
      <x:c r="B24" s="30" t="n">
        <x:f>COUNTIF(Research!C2:C200,A24)</x:f>
        <x:v>1</x:v>
      </x:c>
    </x:row>
    <x:row r="25" ht="15" hidden="0" customHeight="1">
      <x:c r="A25" s="30" t="str">
        <x:v>LLM-ready conversion</x:v>
      </x:c>
      <x:c r="B25" s="30" t="n">
        <x:f>COUNTIF(Research!C2:C200,A25)</x:f>
        <x:v>1</x:v>
      </x:c>
    </x:row>
    <x:row r="26" ht="15" hidden="0" customHeight="1">
      <x:c r="A26" s="30" t="str">
        <x:v>LLM-ready extraction</x:v>
      </x:c>
      <x:c r="B26" s="30" t="n">
        <x:f>COUNTIF(Research!C2:C200,A26)</x:f>
        <x:v>1</x:v>
      </x:c>
    </x:row>
    <x:row r="27" ht="15" hidden="0" customHeight="1">
      <x:c r="A27" s="30" t="str">
        <x:v>LLMO / AIO demo</x:v>
      </x:c>
      <x:c r="B27" s="30" t="n">
        <x:f>COUNTIF(Research!C2:C200,A27)</x:f>
        <x:v>1</x:v>
      </x:c>
    </x:row>
    <x:row r="28" ht="15" hidden="0" customHeight="1">
      <x:c r="A28" s="30" t="str">
        <x:v>LLMO / optimizer</x:v>
      </x:c>
      <x:c r="B28" s="30" t="n">
        <x:f>COUNTIF(Research!C2:C200,A28)</x:f>
        <x:v>1</x:v>
      </x:c>
    </x:row>
    <x:row r="29" ht="15" hidden="0" customHeight="1">
      <x:c r="A29" s="30" t="str">
        <x:v>MCP / discovery</x:v>
      </x:c>
      <x:c r="B29" s="30" t="n">
        <x:f>COUNTIF(Research!C2:C200,A29)</x:f>
        <x:v>1</x:v>
      </x:c>
    </x:row>
    <x:row r="30" ht="15" hidden="0" customHeight="1">
      <x:c r="A30" s="30" t="str">
        <x:v>MCP / docs access</x:v>
      </x:c>
      <x:c r="B30" s="30" t="n">
        <x:f>COUNTIF(Research!C2:C200,A30)</x:f>
        <x:v>1</x:v>
      </x:c>
    </x:row>
    <x:row r="31" ht="15" hidden="0" customHeight="1">
      <x:c r="A31" s="30" t="str">
        <x:v>Platform plugin</x:v>
      </x:c>
      <x:c r="B31" s="30" t="n">
        <x:f>COUNTIF(Research!C2:C200,A31)</x:f>
        <x:v>1</x:v>
      </x:c>
    </x:row>
    <x:row r="32" ht="15" hidden="0" customHeight="1">
      <x:c r="A32" s="30" t="str">
        <x:v>Research / benchmark</x:v>
      </x:c>
      <x:c r="B32" s="30" t="n">
        <x:f>COUNTIF(Research!C2:C200,A32)</x:f>
        <x:v>1</x:v>
      </x:c>
    </x:row>
    <x:row r="33" ht="15" hidden="0" customHeight="1">
      <x:c r="A33" s="30" t="str">
        <x:v>Research / optimizer</x:v>
      </x:c>
      <x:c r="B33" s="30" t="n">
        <x:f>COUNTIF(Research!C2:C200,A33)</x:f>
        <x:v>2</x:v>
      </x:c>
    </x:row>
    <x:row r="34" ht="15" hidden="0" customHeight="1">
      <x:c r="A34" s="30" t="str">
        <x:v>Skill / prompt pack</x:v>
      </x:c>
      <x:c r="B34" s="30" t="n">
        <x:f>COUNTIF(Research!C2:C200,A34)</x:f>
        <x:v>1</x:v>
      </x:c>
    </x:row>
    <x:row r="35" ht="15" hidden="0" customHeight="1">
      <x:c r="A35" s="30" t="str">
        <x:v>Static docs plugin</x:v>
      </x:c>
      <x:c r="B35" s="30" t="n">
        <x:f>COUNTIF(Research!C2:C200,A35)</x:f>
        <x:v>4</x:v>
      </x:c>
    </x:row>
    <x:row r="36" ht="15" hidden="0" customHeight="1">
      <x:c r="A36" s="30" t="str">
        <x:v>llms.txt awesome list</x:v>
      </x:c>
      <x:c r="B36" s="30" t="n">
        <x:f>COUNTIF(Research!C2:C200,A36)</x:f>
        <x:v>1</x:v>
      </x:c>
    </x:row>
    <x:row r="37" ht="15" hidden="0" customHeight="1">
      <x:c r="A37" s="30" t="str">
        <x:v>llms.txt directory</x:v>
      </x:c>
      <x:c r="B37" s="30" t="n">
        <x:f>COUNTIF(Research!C2:C200,A37)</x:f>
        <x:v>1</x:v>
      </x:c>
    </x:row>
    <x:row r="38" ht="15" hidden="0" customHeight="1">
      <x:c r="A38" s="30" t="str">
        <x:v>llms.txt generator</x:v>
      </x:c>
      <x:c r="B38" s="30" t="n">
        <x:f>COUNTIF(Research!C2:C200,A38)</x:f>
        <x:v>5</x:v>
      </x:c>
    </x:row>
    <x:row r="39" ht="15" hidden="0" customHeight="1">
      <x:c r="A39" s="30" t="str">
        <x:v>llms.txt standard</x:v>
      </x:c>
      <x:c r="B39" s="30" t="n">
        <x:f>COUNTIF(Research!C2:C200,A39)</x:f>
        <x:v>1</x:v>
      </x:c>
    </x:row>
    <x:row r="40" ht="15" hidden="0" customHeight="1">
      <x:c r="A40" s="30" t="str">
        <x:v>llms.txt tool</x:v>
      </x:c>
      <x:c r="B40" s="30" t="n">
        <x:f>COUNTIF(Research!C2:C200,A40)</x:f>
        <x:v>1</x:v>
      </x:c>
    </x:row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B3:H3"/>
    <x:mergeCell ref="D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0" hidden="0" customWidth="1"/>
    <x:col min="4" max="4" width="20" hidden="0" customWidth="1"/>
    <x:col min="5" max="5" width="42" hidden="0" customWidth="1"/>
    <x:col min="6" max="6" width="4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2" hidden="0" customWidth="1"/>
    <x:col min="13" max="13" width="42" hidden="0" customWidth="1"/>
    <x:col min="14" max="14" width="28" hidden="0" customWidth="1"/>
    <x:col min="15" max="15" width="10" hidden="0" customWidth="1"/>
    <x:col min="16" max="16" width="28" hidden="0" customWidth="1"/>
    <x:col min="17" max="17" width="28" hidden="0" customWidth="1"/>
  </x:cols>
  <x:sheetData>
    <x:row r="1" ht="15" hidden="0" customHeight="1">
      <x:c r="A1" s="6" t="str">
        <x:v>Repo</x:v>
      </x:c>
      <x:c r="B1" s="6" t="str">
        <x:v>URL</x:v>
      </x:c>
      <x:c r="C1" s="6" t="str">
        <x:v>Category</x:v>
      </x:c>
      <x:c r="D1" s="6" t="str">
        <x:v>Subtype</x:v>
      </x:c>
      <x:c r="E1" s="6" t="str">
        <x:v>What it does</x:v>
      </x:c>
      <x:c r="F1" s="6" t="str">
        <x:v>GEO/AIO fit</x:v>
      </x:c>
      <x:c r="G1" s="6" t="str">
        <x:v>Stack</x:v>
      </x:c>
      <x:c r="H1" s="6" t="str">
        <x:v>Completeness</x:v>
      </x:c>
      <x:c r="I1" s="6" t="str">
        <x:v>Readiness</x:v>
      </x:c>
      <x:c r="J1" s="6" t="str">
        <x:v>Relevance</x:v>
      </x:c>
      <x:c r="K1" s="6" t="str">
        <x:v>Overall score</x:v>
      </x:c>
      <x:c r="L1" s="6" t="str">
        <x:v>Recommended use</x:v>
      </x:c>
      <x:c r="M1" s="6" t="str">
        <x:v>Risks / caveats</x:v>
      </x:c>
      <x:c r="N1" s="6" t="str">
        <x:v>Evidence / source</x:v>
      </x:c>
      <x:c r="O1" s="6" t="str">
        <x:v>Priority</x:v>
      </x:c>
      <x:c r="P1" s="6" t="str">
        <x:v>Size / signal</x:v>
      </x:c>
      <x:c r="Q1" s="6" t="str">
        <x:v>Notes</x:v>
      </x:c>
    </x:row>
    <x:row r="2" ht="26.399999618530273" hidden="0" customHeight="1">
      <x:c r="A2" s="12" t="str">
        <x:v>GEO-optim/GEO</x:v>
      </x:c>
      <x:c r="B2" s="12" t="str">
        <x:v>https://github.com/GEO-optim/GEO</x:v>
      </x:c>
      <x:c r="C2" s="12" t="str">
        <x:v>Research / benchmark</x:v>
      </x:c>
      <x:c r="D2" s="12" t="str">
        <x:v>Original GEO framework</x:v>
      </x:c>
      <x:c r="E2" s="12" t="str">
        <x:v>Code/data companion for the KDD 2024 GEO paper and GEO-bench style experiments.</x:v>
      </x:c>
      <x:c r="F2" s="12" t="str">
        <x:v>Directly targets visibility metrics in generated answers and source attribution.</x:v>
      </x:c>
      <x:c r="G2" s="12" t="str">
        <x:v>Python / benchmark assets</x:v>
      </x:c>
      <x:c r="H2" s="12" t="n">
        <x:v>4</x:v>
      </x:c>
      <x:c r="I2" s="12" t="n">
        <x:v>3</x:v>
      </x:c>
      <x:c r="J2" s="12" t="n">
        <x:v>5</x:v>
      </x:c>
      <x:c r="K2" s="12" t="n">
        <x:f>ROUND((H2*0.40+I2*0.25+J2*0.35),1)</x:f>
        <x:v>4.1</x:v>
      </x:c>
      <x:c r="L2" s="12" t="str">
        <x:v>Use as baseline benchmark and metric reference before building product workflows.</x:v>
      </x:c>
      <x:c r="M2" s="12" t="str">
        <x:v>Research code; not a plug-and-play marketer dashboard.</x:v>
      </x:c>
      <x:c r="N2" s="12" t="str">
        <x:v>GitHub search result; arXiv GEO paper</x:v>
      </x:c>
      <x:c r="O2" s="12" t="str">
        <x:v>A</x:v>
      </x:c>
      <x:c r="P2" s="12" t="str">
        <x:v>size 5308; public; not archived</x:v>
      </x:c>
      <x:c r="Q2" s="12" t="str">
        <x:v>Foundational repo for the term GEO.</x:v>
      </x:c>
    </x:row>
    <x:row r="3" ht="39.599998474121094" hidden="0" customHeight="1">
      <x:c r="A3" s="12" t="str">
        <x:v>AIcling/agentic_geo</x:v>
      </x:c>
      <x:c r="B3" s="12" t="str">
        <x:v>https://github.com/AIcling/agentic_geo</x:v>
      </x:c>
      <x:c r="C3" s="12" t="str">
        <x:v>Research / optimizer</x:v>
      </x:c>
      <x:c r="D3" s="12" t="str">
        <x:v>Agentic GEO optimizer</x:v>
      </x:c>
      <x:c r="E3" s="12" t="str">
        <x:v>Self-evolving agentic system with MAP-Elites strategy archive, co-evolving critic, and multi-turn rewriting.</x:v>
      </x:c>
      <x:c r="F3" s="12" t="str">
        <x:v>Very high: optimizes document visibility and attribution in black-box generative engines.</x:v>
      </x:c>
      <x:c r="G3" s="12" t="str">
        <x:v>Python + shell; LLM endpoints</x:v>
      </x:c>
      <x:c r="H3" s="12" t="n">
        <x:v>5</x:v>
      </x:c>
      <x:c r="I3" s="12" t="n">
        <x:v>3</x:v>
      </x:c>
      <x:c r="J3" s="12" t="n">
        <x:v>5</x:v>
      </x:c>
      <x:c r="K3" s="12" t="n">
        <x:f>ROUND((H3*0.40+I3*0.25+J3*0.35),1)</x:f>
        <x:v>4.5</x:v>
      </x:c>
      <x:c r="L3" s="12" t="str">
        <x:v>Use for R&amp;D on adaptive content rewriting and strategy selection.</x:v>
      </x:c>
      <x:c r="M3" s="12" t="str">
        <x:v>Needs LLM endpoint setup and dataset cache; license signals conflict in page text vs README.</x:v>
      </x:c>
      <x:c r="N3" s="12" t="str">
        <x:v>GitHub page + arXiv AgenticGEO</x:v>
      </x:c>
      <x:c r="O3" s="12" t="str">
        <x:v>A</x:v>
      </x:c>
      <x:c r="P3" s="12" t="str">
        <x:v>27 stars; 4 forks; 17 commits; Python 92.9%</x:v>
      </x:c>
      <x:c r="Q3" s="12" t="str">
        <x:v>Most complete research-grade implementation found.</x:v>
      </x:c>
    </x:row>
    <x:row r="4" ht="39.599998474121094" hidden="0" customHeight="1">
      <x:c r="A4" s="12" t="str">
        <x:v>Wu-beining/MAGEO</x:v>
      </x:c>
      <x:c r="B4" s="12" t="str">
        <x:v>https://github.com/Wu-beining/MAGEO</x:v>
      </x:c>
      <x:c r="C4" s="12" t="str">
        <x:v>Research / optimizer</x:v>
      </x:c>
      <x:c r="D4" s="12" t="str">
        <x:v>Multi-agent GEO</x:v>
      </x:c>
      <x:c r="E4" s="12" t="str">
        <x:v>Closed-loop framework with preference agent, planner, editor, evaluator, memory, DSV-CF metric, and fidelity gate.</x:v>
      </x:c>
      <x:c r="F4" s="12" t="str">
        <x:v>Very high: explicitly optimizes answer-level visibility, influence, citation fidelity, and reliability.</x:v>
      </x:c>
      <x:c r="G4" s="12" t="str">
        <x:v>Python 3.12+; LiteLLM; optional web search</x:v>
      </x:c>
      <x:c r="H4" s="12" t="n">
        <x:v>5</x:v>
      </x:c>
      <x:c r="I4" s="12" t="n">
        <x:v>4</x:v>
      </x:c>
      <x:c r="J4" s="12" t="n">
        <x:v>5</x:v>
      </x:c>
      <x:c r="K4" s="12" t="n">
        <x:f>ROUND((H4*0.40+I4*0.25+J4*0.35),1)</x:f>
        <x:v>4.8</x:v>
      </x:c>
      <x:c r="L4" s="12" t="str">
        <x:v>Use for prototype of agentic AIO/GEO optimization workflow with safety scoring.</x:v>
      </x:c>
      <x:c r="M4" s="12" t="str">
        <x:v>Research-grade; requires model/API configuration and metric interpretation.</x:v>
      </x:c>
      <x:c r="N4" s="12" t="str">
        <x:v>GitHub page + arXiv MAGEO</x:v>
      </x:c>
      <x:c r="O4" s="12" t="str">
        <x:v>A</x:v>
      </x:c>
      <x:c r="P4" s="12" t="str">
        <x:v>38 stars; 0 forks; 8 commits; core method only</x:v>
      </x:c>
      <x:c r="Q4" s="12" t="str">
        <x:v>Strong code map and quick start; good for implementation study.</x:v>
      </x:c>
    </x:row>
    <x:row r="5" ht="39.599998474121094" hidden="0" customHeight="1">
      <x:c r="A5" s="12" t="str">
        <x:v>AI2HU/gego</x:v>
      </x:c>
      <x:c r="B5" s="12" t="str">
        <x:v>https://github.com/AI2HU/gego</x:v>
      </x:c>
      <x:c r="C5" s="12" t="str">
        <x:v>GEO / AIO product</x:v>
      </x:c>
      <x:c r="D5" s="12" t="str">
        <x:v>GEO workflow app</x:v>
      </x:c>
      <x:c r="E5" s="12" t="str">
        <x:v>Large repo surfaced under GEO search; appears to package broader GEO functionality rather than a tiny script.</x:v>
      </x:c>
      <x:c r="F5" s="12" t="str">
        <x:v>Likely high for AIO/GEO operations, depending on docs and actual app completeness.</x:v>
      </x:c>
      <x:c r="G5" s="12" t="str">
        <x:v>Unknown / multi-file app</x:v>
      </x:c>
      <x:c r="H5" s="12" t="n">
        <x:v>4</x:v>
      </x:c>
      <x:c r="I5" s="12" t="n">
        <x:v>3</x:v>
      </x:c>
      <x:c r="J5" s="12" t="n">
        <x:v>4</x:v>
      </x:c>
      <x:c r="K5" s="12" t="n">
        <x:f>ROUND((H5*0.40+I5*0.25+J5*0.35),1)</x:f>
        <x:v>3.8</x:v>
      </x:c>
      <x:c r="L5" s="12" t="str">
        <x:v>Evaluate as potential product-style reference for GEO workflow design.</x:v>
      </x:c>
      <x:c r="M5" s="12" t="str">
        <x:v>Needs code review; search metadata alone does not prove model evaluation quality.</x:v>
      </x:c>
      <x:c r="N5" s="12" t="str">
        <x:v>GitHub search result</x:v>
      </x:c>
      <x:c r="O5" s="12" t="str">
        <x:v>B</x:v>
      </x:c>
      <x:c r="P5" s="12" t="str">
        <x:v>size 205941; public; not archived</x:v>
      </x:c>
      <x:c r="Q5" s="12" t="str">
        <x:v>Very large size suggests more complete app/assets, but requires manual repo review.</x:v>
      </x:c>
    </x:row>
    <x:row r="6" ht="26.399999618530273" hidden="0" customHeight="1">
      <x:c r="A6" s="12" t="str">
        <x:v>mverab/eGEOagents</x:v>
      </x:c>
      <x:c r="B6" s="12" t="str">
        <x:v>https://github.com/mverab/eGEOagents</x:v>
      </x:c>
      <x:c r="C6" s="12" t="str">
        <x:v>GEO / agents</x:v>
      </x:c>
      <x:c r="D6" s="12" t="str">
        <x:v>Agent-based GEO</x:v>
      </x:c>
      <x:c r="E6" s="12" t="str">
        <x:v>Repo name and size indicate an agentic GEO implementation rather than a one-off note.</x:v>
      </x:c>
      <x:c r="F6" s="12" t="str">
        <x:v>Relevant for agent orchestration around GEO tasks.</x:v>
      </x:c>
      <x:c r="G6" s="12" t="str">
        <x:v>Unknown</x:v>
      </x:c>
      <x:c r="H6" s="12" t="n">
        <x:v>4</x:v>
      </x:c>
      <x:c r="I6" s="12" t="n">
        <x:v>3</x:v>
      </x:c>
      <x:c r="J6" s="12" t="n">
        <x:v>4</x:v>
      </x:c>
      <x:c r="K6" s="12" t="n">
        <x:f>ROUND((H6*0.40+I6*0.25+J6*0.35),1)</x:f>
        <x:v>3.8</x:v>
      </x:c>
      <x:c r="L6" s="12" t="str">
        <x:v>Inspect for reusable agent workflow patterns and prompts.</x:v>
      </x:c>
      <x:c r="M6" s="12" t="str">
        <x:v>Confirm if it contains working code, tests, and API abstraction.</x:v>
      </x:c>
      <x:c r="N6" s="12" t="str">
        <x:v>GitHub search result</x:v>
      </x:c>
      <x:c r="O6" s="12" t="str">
        <x:v>B</x:v>
      </x:c>
      <x:c r="P6" s="12" t="str">
        <x:v>size 23958; public; not archived</x:v>
      </x:c>
      <x:c r="Q6" s="12" t="str">
        <x:v>Promising low/medium visibility repo.</x:v>
      </x:c>
    </x:row>
    <x:row r="7" ht="39.599998474121094" hidden="0" customHeight="1">
      <x:c r="A7" s="12" t="str">
        <x:v>geo-team-red/geo-optimizer</x:v>
      </x:c>
      <x:c r="B7" s="12" t="str">
        <x:v>https://github.com/geo-team-red/geo-optimizer</x:v>
      </x:c>
      <x:c r="C7" s="12" t="str">
        <x:v>GEO / content optimizer</x:v>
      </x:c>
      <x:c r="D7" s="12" t="str">
        <x:v>Content optimization</x:v>
      </x:c>
      <x:c r="E7" s="12" t="str">
        <x:v>Compact repo found in GEO optimizer searches; likely aimed at content optimization for generative engines.</x:v>
      </x:c>
      <x:c r="F7" s="12" t="str">
        <x:v>High if it performs page/content audits or rewriting; less if only demo content.</x:v>
      </x:c>
      <x:c r="G7" s="12" t="str">
        <x:v>Unknown</x:v>
      </x:c>
      <x:c r="H7" s="12" t="n">
        <x:v>3</x:v>
      </x:c>
      <x:c r="I7" s="12" t="n">
        <x:v>3</x:v>
      </x:c>
      <x:c r="J7" s="12" t="n">
        <x:v>4</x:v>
      </x:c>
      <x:c r="K7" s="12" t="n">
        <x:f>ROUND((H7*0.40+I7*0.25+J7*0.35),1)</x:f>
        <x:v>3.4</x:v>
      </x:c>
      <x:c r="L7" s="12" t="str">
        <x:v>Check for useful audit heuristics and UI/workflow ideas.</x:v>
      </x:c>
      <x:c r="M7" s="12" t="str">
        <x:v>Small-to-mid size; verify maintainability and data sources.</x:v>
      </x:c>
      <x:c r="N7" s="12" t="str">
        <x:v>GitHub search result</x:v>
      </x:c>
      <x:c r="O7" s="12" t="str">
        <x:v>B</x:v>
      </x:c>
      <x:c r="P7" s="12" t="str">
        <x:v>size 2522; public; not archived</x:v>
      </x:c>
      <x:c r="Q7" s="12" t="str">
        <x:v>Include because it looks purpose-built for GEO.</x:v>
      </x:c>
    </x:row>
    <x:row r="8" ht="26.399999618530273" hidden="0" customHeight="1">
      <x:c r="A8" s="12" t="str">
        <x:v>answer-engine/aeo</x:v>
      </x:c>
      <x:c r="B8" s="12" t="str">
        <x:v>https://github.com/answer-engine/aeo</x:v>
      </x:c>
      <x:c r="C8" s="12" t="str">
        <x:v>AEO / answer engine</x:v>
      </x:c>
      <x:c r="D8" s="12" t="str">
        <x:v>Answer engine optimization</x:v>
      </x:c>
      <x:c r="E8" s="12" t="str">
        <x:v>Purpose-built AEO repo; likely overlaps with AI Overview / answer visibility work.</x:v>
      </x:c>
      <x:c r="F8" s="12" t="str">
        <x:v>High for AIO/AEO; may be more product/heuristic than academic benchmark.</x:v>
      </x:c>
      <x:c r="G8" s="12" t="str">
        <x:v>Unknown</x:v>
      </x:c>
      <x:c r="H8" s="12" t="n">
        <x:v>4</x:v>
      </x:c>
      <x:c r="I8" s="12" t="n">
        <x:v>3</x:v>
      </x:c>
      <x:c r="J8" s="12" t="n">
        <x:v>4</x:v>
      </x:c>
      <x:c r="K8" s="12" t="n">
        <x:f>ROUND((H8*0.40+I8*0.25+J8*0.35),1)</x:f>
        <x:v>3.8</x:v>
      </x:c>
      <x:c r="L8" s="12" t="str">
        <x:v>Review for answer-engine monitoring or optimization approach.</x:v>
      </x:c>
      <x:c r="M8" s="12" t="str">
        <x:v>Needs verification of supported engines and data collection legality.</x:v>
      </x:c>
      <x:c r="N8" s="12" t="str">
        <x:v>GitHub search result</x:v>
      </x:c>
      <x:c r="O8" s="12" t="str">
        <x:v>B</x:v>
      </x:c>
      <x:c r="P8" s="12" t="str">
        <x:v>size 3543; public; not archived</x:v>
      </x:c>
      <x:c r="Q8" s="12" t="str">
        <x:v>AEO and GEO are adjacent; included as AIO candidate.</x:v>
      </x:c>
    </x:row>
    <x:row r="9" ht="26.399999618530273" hidden="0" customHeight="1">
      <x:c r="A9" s="12" t="str">
        <x:v>roberttjalsma/aio-analyzer</x:v>
      </x:c>
      <x:c r="B9" s="12" t="str">
        <x:v>https://github.com/roberttjalsma/aio-analyzer</x:v>
      </x:c>
      <x:c r="C9" s="12" t="str">
        <x:v>AIO analyzer</x:v>
      </x:c>
      <x:c r="D9" s="12" t="str">
        <x:v>AI Overview analysis</x:v>
      </x:c>
      <x:c r="E9" s="12" t="str">
        <x:v>AIO-focused analyzer repo; likely evaluates Google AI Overview style output or SERP/AIO signals.</x:v>
      </x:c>
      <x:c r="F9" s="12" t="str">
        <x:v>High if it detects AI Overview presence and cited sources.</x:v>
      </x:c>
      <x:c r="G9" s="12" t="str">
        <x:v>Unknown</x:v>
      </x:c>
      <x:c r="H9" s="12" t="n">
        <x:v>3</x:v>
      </x:c>
      <x:c r="I9" s="12" t="n">
        <x:v>3</x:v>
      </x:c>
      <x:c r="J9" s="12" t="n">
        <x:v>4</x:v>
      </x:c>
      <x:c r="K9" s="12" t="n">
        <x:f>ROUND((H9*0.40+I9*0.25+J9*0.35),1)</x:f>
        <x:v>3.4</x:v>
      </x:c>
      <x:c r="L9" s="12" t="str">
        <x:v>Use as lightweight reference for AIO auditing workflow.</x:v>
      </x:c>
      <x:c r="M9" s="12" t="str">
        <x:v>Small repo; verify whether it is functional or a starter template.</x:v>
      </x:c>
      <x:c r="N9" s="12" t="str">
        <x:v>GitHub search result</x:v>
      </x:c>
      <x:c r="O9" s="12" t="str">
        <x:v>B</x:v>
      </x:c>
      <x:c r="P9" s="12" t="str">
        <x:v>size 139; public; not archived</x:v>
      </x:c>
      <x:c r="Q9" s="12" t="str">
        <x:v>Low size but highly on-topic.</x:v>
      </x:c>
    </x:row>
    <x:row r="10" ht="26.399999618530273" hidden="0" customHeight="1">
      <x:c r="A10" s="12" t="str">
        <x:v>internet-and-sons/geo-reporter</x:v>
      </x:c>
      <x:c r="B10" s="12" t="str">
        <x:v>https://github.com/internet-and-sons/geo-reporter</x:v>
      </x:c>
      <x:c r="C10" s="12" t="str">
        <x:v>GEO reporting</x:v>
      </x:c>
      <x:c r="D10" s="12" t="str">
        <x:v>Reporting / monitoring</x:v>
      </x:c>
      <x:c r="E10" s="12" t="str">
        <x:v>Likely a reporting utility for GEO metrics or AI visibility snapshots.</x:v>
      </x:c>
      <x:c r="F10" s="12" t="str">
        <x:v>Good fit for reporting layer of GEO/AIO program.</x:v>
      </x:c>
      <x:c r="G10" s="12" t="str">
        <x:v>Unknown</x:v>
      </x:c>
      <x:c r="H10" s="12" t="n">
        <x:v>3</x:v>
      </x:c>
      <x:c r="I10" s="12" t="n">
        <x:v>3</x:v>
      </x:c>
      <x:c r="J10" s="12" t="n">
        <x:v>4</x:v>
      </x:c>
      <x:c r="K10" s="12" t="n">
        <x:f>ROUND((H10*0.40+I10*0.25+J10*0.35),1)</x:f>
        <x:v>3.4</x:v>
      </x:c>
      <x:c r="L10" s="12" t="str">
        <x:v>Review for report structure and measurement KPIs.</x:v>
      </x:c>
      <x:c r="M10" s="12" t="str">
        <x:v>Small repo; may not include collectors or model integrations.</x:v>
      </x:c>
      <x:c r="N10" s="12" t="str">
        <x:v>GitHub search result</x:v>
      </x:c>
      <x:c r="O10" s="12" t="str">
        <x:v>B</x:v>
      </x:c>
      <x:c r="P10" s="12" t="str">
        <x:v>size 247; public; not archived</x:v>
      </x:c>
      <x:c r="Q10" s="12" t="str">
        <x:v>Relevant for reporting templates.</x:v>
      </x:c>
    </x:row>
    <x:row r="11" ht="26.399999618530273" hidden="0" customHeight="1">
      <x:c r="A11" s="12" t="str">
        <x:v>alexpospekhov/searchstack-aeo</x:v>
      </x:c>
      <x:c r="B11" s="12" t="str">
        <x:v>https://github.com/alexpospekhov/searchstack-aeo</x:v>
      </x:c>
      <x:c r="C11" s="12" t="str">
        <x:v>AEO stack</x:v>
      </x:c>
      <x:c r="D11" s="12" t="str">
        <x:v>Search/AEO app</x:v>
      </x:c>
      <x:c r="E11" s="12" t="str">
        <x:v>Larger repo found under llms.txt/AEO search; likely provides a stack for answer-engine optimization.</x:v>
      </x:c>
      <x:c r="F11" s="12" t="str">
        <x:v>High if it combines content, retrieval, and LLM-answer checks.</x:v>
      </x:c>
      <x:c r="G11" s="12" t="str">
        <x:v>Unknown</x:v>
      </x:c>
      <x:c r="H11" s="12" t="n">
        <x:v>4</x:v>
      </x:c>
      <x:c r="I11" s="12" t="n">
        <x:v>3</x:v>
      </x:c>
      <x:c r="J11" s="12" t="n">
        <x:v>4</x:v>
      </x:c>
      <x:c r="K11" s="12" t="n">
        <x:f>ROUND((H11*0.40+I11*0.25+J11*0.35),1)</x:f>
        <x:v>3.8</x:v>
      </x:c>
      <x:c r="L11" s="12" t="str">
        <x:v>Inspect as product-style AEO reference implementation.</x:v>
      </x:c>
      <x:c r="M11" s="12" t="str">
        <x:v>Needs repo-level validation; name alone does not confirm engine coverage.</x:v>
      </x:c>
      <x:c r="N11" s="12" t="str">
        <x:v>GitHub search result</x:v>
      </x:c>
      <x:c r="O11" s="12" t="str">
        <x:v>B</x:v>
      </x:c>
      <x:c r="P11" s="12" t="str">
        <x:v>size 16379; public; not archived</x:v>
      </x:c>
      <x:c r="Q11" s="12" t="str">
        <x:v>Strong size signal among low-star candidates.</x:v>
      </x:c>
    </x:row>
    <x:row r="12" ht="26.399999618530273" hidden="0" customHeight="1">
      <x:c r="A12" s="12" t="str">
        <x:v>jonradoff/llmopt</x:v>
      </x:c>
      <x:c r="B12" s="12" t="str">
        <x:v>https://github.com/jonradoff/llmopt</x:v>
      </x:c>
      <x:c r="C12" s="12" t="str">
        <x:v>LLMO / optimizer</x:v>
      </x:c>
      <x:c r="D12" s="12" t="str">
        <x:v>LLM optimization</x:v>
      </x:c>
      <x:c r="E12" s="12" t="str">
        <x:v>Repo found under GEO/LLM optimization search; likely an LLM visibility or content optimization tool.</x:v>
      </x:c>
      <x:c r="F12" s="12" t="str">
        <x:v>Medium-high for LLMO; verify if focused on search visibility vs prompt/model optimization.</x:v>
      </x:c>
      <x:c r="G12" s="12" t="str">
        <x:v>Unknown</x:v>
      </x:c>
      <x:c r="H12" s="12" t="n">
        <x:v>3</x:v>
      </x:c>
      <x:c r="I12" s="12" t="n">
        <x:v>3</x:v>
      </x:c>
      <x:c r="J12" s="12" t="n">
        <x:v>3</x:v>
      </x:c>
      <x:c r="K12" s="12" t="n">
        <x:f>ROUND((H12*0.40+I12*0.25+J12*0.35),1)</x:f>
        <x:v>3</x:v>
      </x:c>
      <x:c r="L12" s="12" t="str">
        <x:v>Potential heuristic library or checklist reference.</x:v>
      </x:c>
      <x:c r="M12" s="12" t="str">
        <x:v>Ambiguous scope; could mean generic LLM optimization, not GEO.</x:v>
      </x:c>
      <x:c r="N12" s="12" t="str">
        <x:v>GitHub search result</x:v>
      </x:c>
      <x:c r="O12" s="12" t="str">
        <x:v>C</x:v>
      </x:c>
      <x:c r="P12" s="12" t="str">
        <x:v>size 615; public; not archived</x:v>
      </x:c>
      <x:c r="Q12" s="12" t="str">
        <x:v>Keep as secondary candidate.</x:v>
      </x:c>
    </x:row>
    <x:row r="13" ht="26.399999618530273" hidden="0" customHeight="1">
      <x:c r="A13" s="12" t="str">
        <x:v>MakiDevelop/geo-checker</x:v>
      </x:c>
      <x:c r="B13" s="12" t="str">
        <x:v>https://github.com/MakiDevelop/geo-checker</x:v>
      </x:c>
      <x:c r="C13" s="12" t="str">
        <x:v>GEO checker</x:v>
      </x:c>
      <x:c r="D13" s="12" t="str">
        <x:v>Readiness checker</x:v>
      </x:c>
      <x:c r="E13" s="12" t="str">
        <x:v>Purpose-named checker for GEO; likely audits pages or metadata for generative search readiness.</x:v>
      </x:c>
      <x:c r="F13" s="12" t="str">
        <x:v>High if it validates llms.txt, schema, content structure, and AI citation readiness.</x:v>
      </x:c>
      <x:c r="G13" s="12" t="str">
        <x:v>Unknown</x:v>
      </x:c>
      <x:c r="H13" s="12" t="n">
        <x:v>3</x:v>
      </x:c>
      <x:c r="I13" s="12" t="n">
        <x:v>3</x:v>
      </x:c>
      <x:c r="J13" s="12" t="n">
        <x:v>4</x:v>
      </x:c>
      <x:c r="K13" s="12" t="n">
        <x:f>ROUND((H13*0.40+I13*0.25+J13*0.35),1)</x:f>
        <x:v>3.4</x:v>
      </x:c>
      <x:c r="L13" s="12" t="str">
        <x:v>Review for checklist logic and scoring rules.</x:v>
      </x:c>
      <x:c r="M13" s="12" t="str">
        <x:v>Could be thin; verify install path and sample outputs.</x:v>
      </x:c>
      <x:c r="N13" s="12" t="str">
        <x:v>GitHub search result</x:v>
      </x:c>
      <x:c r="O13" s="12" t="str">
        <x:v>B</x:v>
      </x:c>
      <x:c r="P13" s="12" t="str">
        <x:v>size 3741; public; not archived</x:v>
      </x:c>
      <x:c r="Q13" s="12" t="str">
        <x:v>Worth reviewing due to fit and size.</x:v>
      </x:c>
    </x:row>
    <x:row r="14" ht="26.399999618530273" hidden="0" customHeight="1">
      <x:c r="A14" s="12" t="str">
        <x:v>fabienstrauss/geo-rank-ai</x:v>
      </x:c>
      <x:c r="B14" s="12" t="str">
        <x:v>https://github.com/fabienstrauss/geo-rank-ai</x:v>
      </x:c>
      <x:c r="C14" s="12" t="str">
        <x:v>GEO rank tracking</x:v>
      </x:c>
      <x:c r="D14" s="12" t="str">
        <x:v>Ranking / visibility</x:v>
      </x:c>
      <x:c r="E14" s="12" t="str">
        <x:v>Name suggests AI/GEO rank tracking or visibility measurement.</x:v>
      </x:c>
      <x:c r="F14" s="12" t="str">
        <x:v>Good if it queries LLM engines and tracks brand/source mentions.</x:v>
      </x:c>
      <x:c r="G14" s="12" t="str">
        <x:v>Unknown</x:v>
      </x:c>
      <x:c r="H14" s="12" t="n">
        <x:v>3</x:v>
      </x:c>
      <x:c r="I14" s="12" t="n">
        <x:v>3</x:v>
      </x:c>
      <x:c r="J14" s="12" t="n">
        <x:v>4</x:v>
      </x:c>
      <x:c r="K14" s="12" t="n">
        <x:f>ROUND((H14*0.40+I14*0.25+J14*0.35),1)</x:f>
        <x:v>3.4</x:v>
      </x:c>
      <x:c r="L14" s="12" t="str">
        <x:v>Review for prompt set, engine adapters, and storage model.</x:v>
      </x:c>
      <x:c r="M14" s="12" t="str">
        <x:v>Small size; rank tracking for LLMs is noisy and terms-sensitive.</x:v>
      </x:c>
      <x:c r="N14" s="12" t="str">
        <x:v>GitHub search result</x:v>
      </x:c>
      <x:c r="O14" s="12" t="str">
        <x:v>B</x:v>
      </x:c>
      <x:c r="P14" s="12" t="str">
        <x:v>size 294; public; not archived</x:v>
      </x:c>
      <x:c r="Q14" s="12" t="str">
        <x:v>Good concept, uncertain completeness.</x:v>
      </x:c>
    </x:row>
    <x:row r="15" ht="26.399999618530273" hidden="0" customHeight="1">
      <x:c r="A15" s="12" t="str">
        <x:v>shubhamm-sk/surgeAIO</x:v>
      </x:c>
      <x:c r="B15" s="12" t="str">
        <x:v>https://github.com/shubhamm-sk/surgeAIO</x:v>
      </x:c>
      <x:c r="C15" s="12" t="str">
        <x:v>AIO product</x:v>
      </x:c>
      <x:c r="D15" s="12" t="str">
        <x:v>AIO app</x:v>
      </x:c>
      <x:c r="E15" s="12" t="str">
        <x:v>Large AIO-named repo; may include UI or broader app assets.</x:v>
      </x:c>
      <x:c r="F15" s="12" t="str">
        <x:v>Potentially high for AI Overview optimization workflows.</x:v>
      </x:c>
      <x:c r="G15" s="12" t="str">
        <x:v>Unknown</x:v>
      </x:c>
      <x:c r="H15" s="12" t="n">
        <x:v>4</x:v>
      </x:c>
      <x:c r="I15" s="12" t="n">
        <x:v>3</x:v>
      </x:c>
      <x:c r="J15" s="12" t="n">
        <x:v>4</x:v>
      </x:c>
      <x:c r="K15" s="12" t="n">
        <x:f>ROUND((H15*0.40+I15*0.25+J15*0.35),1)</x:f>
        <x:v>3.8</x:v>
      </x:c>
      <x:c r="L15" s="12" t="str">
        <x:v>Review for UI patterns, analyzer flow, and deployment setup.</x:v>
      </x:c>
      <x:c r="M15" s="12" t="str">
        <x:v>AIO acronym can be ambiguous; inspect README before adoption.</x:v>
      </x:c>
      <x:c r="N15" s="12" t="str">
        <x:v>GitHub search result</x:v>
      </x:c>
      <x:c r="O15" s="12" t="str">
        <x:v>B</x:v>
      </x:c>
      <x:c r="P15" s="12" t="str">
        <x:v>size 26243; public; not archived</x:v>
      </x:c>
      <x:c r="Q15" s="12" t="str">
        <x:v>Large enough to justify manual inspection.</x:v>
      </x:c>
    </x:row>
    <x:row r="16" ht="26.399999618530273" hidden="0" customHeight="1">
      <x:c r="A16" s="12" t="str">
        <x:v>Auriti-Labs/geo-optimizer-skill</x:v>
      </x:c>
      <x:c r="B16" s="12" t="str">
        <x:v>https://github.com/Auriti-Labs/geo-optimizer-skill</x:v>
      </x:c>
      <x:c r="C16" s="12" t="str">
        <x:v>Skill / prompt pack</x:v>
      </x:c>
      <x:c r="D16" s="12" t="str">
        <x:v>GEO optimizer skill</x:v>
      </x:c>
      <x:c r="E16" s="12" t="str">
        <x:v>Likely an agent skill package for GEO-related content optimization.</x:v>
      </x:c>
      <x:c r="F16" s="12" t="str">
        <x:v>Useful if adopting agent skill conventions for repeatable optimization tasks.</x:v>
      </x:c>
      <x:c r="G16" s="12" t="str">
        <x:v>Unknown</x:v>
      </x:c>
      <x:c r="H16" s="12" t="n">
        <x:v>3</x:v>
      </x:c>
      <x:c r="I16" s="12" t="n">
        <x:v>3</x:v>
      </x:c>
      <x:c r="J16" s="12" t="n">
        <x:v>3</x:v>
      </x:c>
      <x:c r="K16" s="12" t="n">
        <x:f>ROUND((H16*0.40+I16*0.25+J16*0.35),1)</x:f>
        <x:v>3</x:v>
      </x:c>
      <x:c r="L16" s="12" t="str">
        <x:v>Mine for task decomposition, prompts, and checklist design.</x:v>
      </x:c>
      <x:c r="M16" s="12" t="str">
        <x:v>Many similar clones exist; verify originality and maintenance.</x:v>
      </x:c>
      <x:c r="N16" s="12" t="str">
        <x:v>GitHub search result</x:v>
      </x:c>
      <x:c r="O16" s="12" t="str">
        <x:v>C</x:v>
      </x:c>
      <x:c r="P16" s="12" t="str">
        <x:v>size 2058; public; not archived</x:v>
      </x:c>
      <x:c r="Q16" s="12" t="str">
        <x:v>Include as skill-oriented reference.</x:v>
      </x:c>
    </x:row>
    <x:row r="17" ht="15" hidden="0" customHeight="1">
      <x:c r="A17" s="12" t="str">
        <x:v>AIAnytime/LLMO-AIO-Project</x:v>
      </x:c>
      <x:c r="B17" s="12" t="str">
        <x:v>https://github.com/AIAnytime/LLMO-AIO-Project</x:v>
      </x:c>
      <x:c r="C17" s="12" t="str">
        <x:v>LLMO / AIO demo</x:v>
      </x:c>
      <x:c r="D17" s="12" t="str">
        <x:v>Educational demo</x:v>
      </x:c>
      <x:c r="E17" s="12" t="str">
        <x:v>Directly named LLMO/AIO but very small.</x:v>
      </x:c>
      <x:c r="F17" s="12" t="str">
        <x:v>Relevant terms, but likely educational or early-stage.</x:v>
      </x:c>
      <x:c r="G17" s="12" t="str">
        <x:v>Unknown</x:v>
      </x:c>
      <x:c r="H17" s="12" t="n">
        <x:v>2</x:v>
      </x:c>
      <x:c r="I17" s="12" t="n">
        <x:v>2</x:v>
      </x:c>
      <x:c r="J17" s="12" t="n">
        <x:v>4</x:v>
      </x:c>
      <x:c r="K17" s="12" t="n">
        <x:f>ROUND((H17*0.40+I17*0.25+J17*0.35),1)</x:f>
        <x:v>2.7</x:v>
      </x:c>
      <x:c r="L17" s="12" t="str">
        <x:v>Use only for examples or terminology mapping.</x:v>
      </x:c>
      <x:c r="M17" s="12" t="str">
        <x:v>Too small to treat as complete product or library.</x:v>
      </x:c>
      <x:c r="N17" s="12" t="str">
        <x:v>GitHub search result</x:v>
      </x:c>
      <x:c r="O17" s="12" t="str">
        <x:v>C</x:v>
      </x:c>
      <x:c r="P17" s="12" t="str">
        <x:v>size 14; public; not archived</x:v>
      </x:c>
      <x:c r="Q17" s="12" t="str">
        <x:v>On-topic but low completeness.</x:v>
      </x:c>
    </x:row>
    <x:row r="18" ht="26.399999618530273" hidden="0" customHeight="1">
      <x:c r="A18" s="12" t="str">
        <x:v>AnswerDotAI/llms-txt</x:v>
      </x:c>
      <x:c r="B18" s="12" t="str">
        <x:v>https://github.com/AnswerDotAI/llms-txt</x:v>
      </x:c>
      <x:c r="C18" s="12" t="str">
        <x:v>llms.txt standard</x:v>
      </x:c>
      <x:c r="D18" s="12" t="str">
        <x:v>Spec / reference</x:v>
      </x:c>
      <x:c r="E18" s="12" t="str">
        <x:v>Reference repo for the llms.txt convention and supporting material.</x:v>
      </x:c>
      <x:c r="F18" s="12" t="str">
        <x:v>High: llms.txt is a core technical artifact for LLM-readable site guidance.</x:v>
      </x:c>
      <x:c r="G18" s="12" t="str">
        <x:v>Markdown / docs</x:v>
      </x:c>
      <x:c r="H18" s="12" t="n">
        <x:v>5</x:v>
      </x:c>
      <x:c r="I18" s="12" t="n">
        <x:v>5</x:v>
      </x:c>
      <x:c r="J18" s="12" t="n">
        <x:v>5</x:v>
      </x:c>
      <x:c r="K18" s="12" t="n">
        <x:f>ROUND((H18*0.40+I18*0.25+J18*0.35),1)</x:f>
        <x:v>5</x:v>
      </x:c>
      <x:c r="L18" s="12" t="str">
        <x:v>Use as spec source when implementing llms.txt and llms-full.txt.</x:v>
      </x:c>
      <x:c r="M18" s="12" t="str">
        <x:v>llms.txt is an emerging convention, not guaranteed to be obeyed by engines.</x:v>
      </x:c>
      <x:c r="N18" s="12" t="str">
        <x:v>GitHub search result; llms.txt articles</x:v>
      </x:c>
      <x:c r="O18" s="12" t="str">
        <x:v>A</x:v>
      </x:c>
      <x:c r="P18" s="12" t="str">
        <x:v>size 1329; public; not archived</x:v>
      </x:c>
      <x:c r="Q18" s="12" t="str">
        <x:v>Foundation for the llms.txt section.</x:v>
      </x:c>
    </x:row>
    <x:row r="19" ht="26.399999618530273" hidden="0" customHeight="1">
      <x:c r="A19" s="12" t="str">
        <x:v>firecrawl/llmstxt-generator</x:v>
      </x:c>
      <x:c r="B19" s="12" t="str">
        <x:v>https://github.com/firecrawl/llmstxt-generator</x:v>
      </x:c>
      <x:c r="C19" s="12" t="str">
        <x:v>llms.txt generator</x:v>
      </x:c>
      <x:c r="D19" s="12" t="str">
        <x:v>SaaS/web generator</x:v>
      </x:c>
      <x:c r="E19" s="12" t="str">
        <x:v>Generator for producing llms.txt from a website using crawling/extraction.</x:v>
      </x:c>
      <x:c r="F19" s="12" t="str">
        <x:v>High: directly converts website content into LLM-facing index file.</x:v>
      </x:c>
      <x:c r="G19" s="12" t="str">
        <x:v>Likely TypeScript/JS app</x:v>
      </x:c>
      <x:c r="H19" s="12" t="n">
        <x:v>4</x:v>
      </x:c>
      <x:c r="I19" s="12" t="n">
        <x:v>4</x:v>
      </x:c>
      <x:c r="J19" s="12" t="n">
        <x:v>5</x:v>
      </x:c>
      <x:c r="K19" s="12" t="n">
        <x:f>ROUND((H19*0.40+I19*0.25+J19*0.35),1)</x:f>
        <x:v>4.4</x:v>
      </x:c>
      <x:c r="L19" s="12" t="str">
        <x:v>Use for quick generation workflow and UX reference.</x:v>
      </x:c>
      <x:c r="M19" s="12" t="str">
        <x:v>Generated output still needs human curation and source prioritization.</x:v>
      </x:c>
      <x:c r="N19" s="12" t="str">
        <x:v>GitHub search result; llms.txt articles mention Firecrawl</x:v>
      </x:c>
      <x:c r="O19" s="12" t="str">
        <x:v>A</x:v>
      </x:c>
      <x:c r="P19" s="12" t="str">
        <x:v>size 293; public; not archived</x:v>
      </x:c>
      <x:c r="Q19" s="12" t="str">
        <x:v>Best quick-start generator candidate.</x:v>
      </x:c>
    </x:row>
    <x:row r="20" ht="26.399999618530273" hidden="0" customHeight="1">
      <x:c r="A20" s="12" t="str">
        <x:v>thedaviddias/llms-txt-hub</x:v>
      </x:c>
      <x:c r="B20" s="12" t="str">
        <x:v>https://github.com/thedaviddias/llms-txt-hub</x:v>
      </x:c>
      <x:c r="C20" s="12" t="str">
        <x:v>llms.txt directory</x:v>
      </x:c>
      <x:c r="D20" s="12" t="str">
        <x:v>Hub / directory</x:v>
      </x:c>
      <x:c r="E20" s="12" t="str">
        <x:v>Large curated hub of sites and resources using llms.txt.</x:v>
      </x:c>
      <x:c r="F20" s="12" t="str">
        <x:v>Good for competitive research and examples of real llms.txt implementations.</x:v>
      </x:c>
      <x:c r="G20" s="12" t="str">
        <x:v>Docs / data</x:v>
      </x:c>
      <x:c r="H20" s="12" t="n">
        <x:v>5</x:v>
      </x:c>
      <x:c r="I20" s="12" t="n">
        <x:v>5</x:v>
      </x:c>
      <x:c r="J20" s="12" t="n">
        <x:v>4</x:v>
      </x:c>
      <x:c r="K20" s="12" t="n">
        <x:f>ROUND((H20*0.40+I20*0.25+J20*0.35),1)</x:f>
        <x:v>4.7</x:v>
      </x:c>
      <x:c r="L20" s="12" t="str">
        <x:v>Use as corpus of examples and implementation references.</x:v>
      </x:c>
      <x:c r="M20" s="12" t="str">
        <x:v>Directory quality depends on curation and freshness.</x:v>
      </x:c>
      <x:c r="N20" s="12" t="str">
        <x:v>GitHub search result</x:v>
      </x:c>
      <x:c r="O20" s="12" t="str">
        <x:v>A</x:v>
      </x:c>
      <x:c r="P20" s="12" t="str">
        <x:v>size 46512; public; not archived</x:v>
      </x:c>
      <x:c r="Q20" s="12" t="str">
        <x:v>Strong source for examples and adoption tracking.</x:v>
      </x:c>
    </x:row>
    <x:row r="21" ht="26.399999618530273" hidden="0" customHeight="1">
      <x:c r="A21" s="12" t="str">
        <x:v>SecretiveShell/Awesome-llms-txt</x:v>
      </x:c>
      <x:c r="B21" s="12" t="str">
        <x:v>https://github.com/SecretiveShell/Awesome-llms-txt</x:v>
      </x:c>
      <x:c r="C21" s="12" t="str">
        <x:v>llms.txt awesome list</x:v>
      </x:c>
      <x:c r="D21" s="12" t="str">
        <x:v>Curated list</x:v>
      </x:c>
      <x:c r="E21" s="12" t="str">
        <x:v>Awesome list for llms.txt tools and examples.</x:v>
      </x:c>
      <x:c r="F21" s="12" t="str">
        <x:v>Medium-high: useful landscape map, not an implementation itself.</x:v>
      </x:c>
      <x:c r="G21" s="12" t="str">
        <x:v>Markdown</x:v>
      </x:c>
      <x:c r="H21" s="12" t="n">
        <x:v>3</x:v>
      </x:c>
      <x:c r="I21" s="12" t="n">
        <x:v>5</x:v>
      </x:c>
      <x:c r="J21" s="12" t="n">
        <x:v>4</x:v>
      </x:c>
      <x:c r="K21" s="12" t="n">
        <x:f>ROUND((H21*0.40+I21*0.25+J21*0.35),1)</x:f>
        <x:v>3.9</x:v>
      </x:c>
      <x:c r="L21" s="12" t="str">
        <x:v>Use for discovering additional ecosystem tools.</x:v>
      </x:c>
      <x:c r="M21" s="12" t="str">
        <x:v>Curation repo; not a deployable solution.</x:v>
      </x:c>
      <x:c r="N21" s="12" t="str">
        <x:v>GitHub search result</x:v>
      </x:c>
      <x:c r="O21" s="12" t="str">
        <x:v>B</x:v>
      </x:c>
      <x:c r="P21" s="12" t="str">
        <x:v>size 125; public; not archived</x:v>
      </x:c>
      <x:c r="Q21" s="12" t="str">
        <x:v>Good ecosystem map.</x:v>
      </x:c>
    </x:row>
    <x:row r="22" ht="26.399999618530273" hidden="0" customHeight="1">
      <x:c r="A22" s="12" t="str">
        <x:v>delucis/starlight-llms-txt</x:v>
      </x:c>
      <x:c r="B22" s="12" t="str">
        <x:v>https://github.com/delucis/starlight-llms-txt</x:v>
      </x:c>
      <x:c r="C22" s="12" t="str">
        <x:v>Static docs plugin</x:v>
      </x:c>
      <x:c r="D22" s="12" t="str">
        <x:v>Astro Starlight plugin</x:v>
      </x:c>
      <x:c r="E22" s="12" t="str">
        <x:v>Plugin for generating llms.txt for Starlight documentation sites.</x:v>
      </x:c>
      <x:c r="F22" s="12" t="str">
        <x:v>High for developer docs and documentation-based GEO.</x:v>
      </x:c>
      <x:c r="G22" s="12" t="str">
        <x:v>TypeScript / Astro</x:v>
      </x:c>
      <x:c r="H22" s="12" t="n">
        <x:v>4</x:v>
      </x:c>
      <x:c r="I22" s="12" t="n">
        <x:v>4</x:v>
      </x:c>
      <x:c r="J22" s="12" t="n">
        <x:v>5</x:v>
      </x:c>
      <x:c r="K22" s="12" t="n">
        <x:f>ROUND((H22*0.40+I22*0.25+J22*0.35),1)</x:f>
        <x:v>4.4</x:v>
      </x:c>
      <x:c r="L22" s="12" t="str">
        <x:v>Use if your docs site is Astro Starlight.</x:v>
      </x:c>
      <x:c r="M22" s="12" t="str">
        <x:v>Framework-specific; not general website optimization.</x:v>
      </x:c>
      <x:c r="N22" s="12" t="str">
        <x:v>GitHub search result</x:v>
      </x:c>
      <x:c r="O22" s="12" t="str">
        <x:v>A</x:v>
      </x:c>
      <x:c r="P22" s="12" t="str">
        <x:v>size 421; public; not archived</x:v>
      </x:c>
      <x:c r="Q22" s="12" t="str">
        <x:v>Good complete plugin in a focused niche.</x:v>
      </x:c>
    </x:row>
    <x:row r="23" ht="26.399999618530273" hidden="0" customHeight="1">
      <x:c r="A23" s="12" t="str">
        <x:v>pawamoy/mkdocs-llmstxt</x:v>
      </x:c>
      <x:c r="B23" s="12" t="str">
        <x:v>https://github.com/pawamoy/mkdocs-llmstxt</x:v>
      </x:c>
      <x:c r="C23" s="12" t="str">
        <x:v>Static docs plugin</x:v>
      </x:c>
      <x:c r="D23" s="12" t="str">
        <x:v>MkDocs plugin</x:v>
      </x:c>
      <x:c r="E23" s="12" t="str">
        <x:v>Plugin for generating llms.txt artifacts from MkDocs documentation.</x:v>
      </x:c>
      <x:c r="F23" s="12" t="str">
        <x:v>High for docs-driven SaaS/devtools GEO.</x:v>
      </x:c>
      <x:c r="G23" s="12" t="str">
        <x:v>Python / MkDocs</x:v>
      </x:c>
      <x:c r="H23" s="12" t="n">
        <x:v>4</x:v>
      </x:c>
      <x:c r="I23" s="12" t="n">
        <x:v>4</x:v>
      </x:c>
      <x:c r="J23" s="12" t="n">
        <x:v>5</x:v>
      </x:c>
      <x:c r="K23" s="12" t="n">
        <x:f>ROUND((H23*0.40+I23*0.25+J23*0.35),1)</x:f>
        <x:v>4.4</x:v>
      </x:c>
      <x:c r="L23" s="12" t="str">
        <x:v>Use if your docs stack is MkDocs or Material for MkDocs.</x:v>
      </x:c>
      <x:c r="M23" s="12" t="str">
        <x:v>Framework-specific; requires MkDocs config review.</x:v>
      </x:c>
      <x:c r="N23" s="12" t="str">
        <x:v>GitHub search result</x:v>
      </x:c>
      <x:c r="O23" s="12" t="str">
        <x:v>A</x:v>
      </x:c>
      <x:c r="P23" s="12" t="str">
        <x:v>size 888; public; not archived</x:v>
      </x:c>
      <x:c r="Q23" s="12" t="str">
        <x:v>Good fit for docs-first companies.</x:v>
      </x:c>
    </x:row>
    <x:row r="24" ht="26.399999618530273" hidden="0" customHeight="1">
      <x:c r="A24" s="12" t="str">
        <x:v>jdillard/sphinx-llms-txt</x:v>
      </x:c>
      <x:c r="B24" s="12" t="str">
        <x:v>https://github.com/jdillard/sphinx-llms-txt</x:v>
      </x:c>
      <x:c r="C24" s="12" t="str">
        <x:v>Static docs plugin</x:v>
      </x:c>
      <x:c r="D24" s="12" t="str">
        <x:v>Sphinx extension</x:v>
      </x:c>
      <x:c r="E24" s="12" t="str">
        <x:v>Extension for producing llms.txt from Sphinx documentation.</x:v>
      </x:c>
      <x:c r="F24" s="12" t="str">
        <x:v>High for Python docs and enterprise documentation portals.</x:v>
      </x:c>
      <x:c r="G24" s="12" t="str">
        <x:v>Python / Sphinx</x:v>
      </x:c>
      <x:c r="H24" s="12" t="n">
        <x:v>4</x:v>
      </x:c>
      <x:c r="I24" s="12" t="n">
        <x:v>4</x:v>
      </x:c>
      <x:c r="J24" s="12" t="n">
        <x:v>5</x:v>
      </x:c>
      <x:c r="K24" s="12" t="n">
        <x:f>ROUND((H24*0.40+I24*0.25+J24*0.35),1)</x:f>
        <x:v>4.4</x:v>
      </x:c>
      <x:c r="L24" s="12" t="str">
        <x:v>Use if your docs are Sphinx/ReadTheDocs-style.</x:v>
      </x:c>
      <x:c r="M24" s="12" t="str">
        <x:v>Framework-specific; small repo but focused.</x:v>
      </x:c>
      <x:c r="N24" s="12" t="str">
        <x:v>GitHub search result</x:v>
      </x:c>
      <x:c r="O24" s="12" t="str">
        <x:v>A</x:v>
      </x:c>
      <x:c r="P24" s="12" t="str">
        <x:v>size 128; public; not archived</x:v>
      </x:c>
      <x:c r="Q24" s="12" t="str">
        <x:v>Narrow but useful.</x:v>
      </x:c>
    </x:row>
    <x:row r="25" ht="26.399999618530273" hidden="0" customHeight="1">
      <x:c r="A25" s="12" t="str">
        <x:v>4hse/astro-llms-txt</x:v>
      </x:c>
      <x:c r="B25" s="12" t="str">
        <x:v>https://github.com/4hse/astro-llms-txt</x:v>
      </x:c>
      <x:c r="C25" s="12" t="str">
        <x:v>Static docs plugin</x:v>
      </x:c>
      <x:c r="D25" s="12" t="str">
        <x:v>Astro integration</x:v>
      </x:c>
      <x:c r="E25" s="12" t="str">
        <x:v>Astro integration for llms.txt generation.</x:v>
      </x:c>
      <x:c r="F25" s="12" t="str">
        <x:v>High for modern static content sites.</x:v>
      </x:c>
      <x:c r="G25" s="12" t="str">
        <x:v>TypeScript / Astro</x:v>
      </x:c>
      <x:c r="H25" s="12" t="n">
        <x:v>4</x:v>
      </x:c>
      <x:c r="I25" s="12" t="n">
        <x:v>4</x:v>
      </x:c>
      <x:c r="J25" s="12" t="n">
        <x:v>5</x:v>
      </x:c>
      <x:c r="K25" s="12" t="n">
        <x:f>ROUND((H25*0.40+I25*0.25+J25*0.35),1)</x:f>
        <x:v>4.4</x:v>
      </x:c>
      <x:c r="L25" s="12" t="str">
        <x:v>Use for Astro sites outside Starlight-specific workflows.</x:v>
      </x:c>
      <x:c r="M25" s="12" t="str">
        <x:v>Framework-specific; compare with starlight-llms-txt.</x:v>
      </x:c>
      <x:c r="N25" s="12" t="str">
        <x:v>GitHub search result</x:v>
      </x:c>
      <x:c r="O25" s="12" t="str">
        <x:v>A</x:v>
      </x:c>
      <x:c r="P25" s="12" t="str">
        <x:v>size 82; public; not archived</x:v>
      </x:c>
      <x:c r="Q25" s="12" t="str">
        <x:v>Focused implementation.</x:v>
      </x:c>
    </x:row>
    <x:row r="26" ht="26.399999618530273" hidden="0" customHeight="1">
      <x:c r="A26" s="12" t="str">
        <x:v>apify/actor-llmstxt-generator</x:v>
      </x:c>
      <x:c r="B26" s="12" t="str">
        <x:v>https://github.com/apify/actor-llmstxt-generator</x:v>
      </x:c>
      <x:c r="C26" s="12" t="str">
        <x:v>llms.txt generator</x:v>
      </x:c>
      <x:c r="D26" s="12" t="str">
        <x:v>Apify actor</x:v>
      </x:c>
      <x:c r="E26" s="12" t="str">
        <x:v>Apify actor for generating llms.txt using hosted crawling workflows.</x:v>
      </x:c>
      <x:c r="F26" s="12" t="str">
        <x:v>High for no-code/low-code crawling and scheduled refresh.</x:v>
      </x:c>
      <x:c r="G26" s="12" t="str">
        <x:v>Apify actor / JS</x:v>
      </x:c>
      <x:c r="H26" s="12" t="n">
        <x:v>4</x:v>
      </x:c>
      <x:c r="I26" s="12" t="n">
        <x:v>4</x:v>
      </x:c>
      <x:c r="J26" s="12" t="n">
        <x:v>5</x:v>
      </x:c>
      <x:c r="K26" s="12" t="n">
        <x:f>ROUND((H26*0.40+I26*0.25+J26*0.35),1)</x:f>
        <x:v>4.4</x:v>
      </x:c>
      <x:c r="L26" s="12" t="str">
        <x:v>Use if already on Apify or need scheduled crawling jobs.</x:v>
      </x:c>
      <x:c r="M26" s="12" t="str">
        <x:v>Hosted actor dependency; check costs and crawl limits.</x:v>
      </x:c>
      <x:c r="N26" s="12" t="str">
        <x:v>GitHub search result</x:v>
      </x:c>
      <x:c r="O26" s="12" t="str">
        <x:v>A</x:v>
      </x:c>
      <x:c r="P26" s="12" t="str">
        <x:v>size 187; public; not archived</x:v>
      </x:c>
      <x:c r="Q26" s="12" t="str">
        <x:v>Good operational path for non-engineers.</x:v>
      </x:c>
    </x:row>
    <x:row r="27" ht="26.399999618530273" hidden="0" customHeight="1">
      <x:c r="A27" s="12" t="str">
        <x:v>WP-Autoplugin/llms-txt-for-wp</x:v>
      </x:c>
      <x:c r="B27" s="12" t="str">
        <x:v>https://github.com/WP-Autoplugin/llms-txt-for-wp</x:v>
      </x:c>
      <x:c r="C27" s="12" t="str">
        <x:v>CMS plugin</x:v>
      </x:c>
      <x:c r="D27" s="12" t="str">
        <x:v>WordPress plugin</x:v>
      </x:c>
      <x:c r="E27" s="12" t="str">
        <x:v>WordPress plugin for producing llms.txt from site content.</x:v>
      </x:c>
      <x:c r="F27" s="12" t="str">
        <x:v>High for content/CMS teams using WordPress.</x:v>
      </x:c>
      <x:c r="G27" s="12" t="str">
        <x:v>PHP / WordPress</x:v>
      </x:c>
      <x:c r="H27" s="12" t="n">
        <x:v>4</x:v>
      </x:c>
      <x:c r="I27" s="12" t="n">
        <x:v>4</x:v>
      </x:c>
      <x:c r="J27" s="12" t="n">
        <x:v>5</x:v>
      </x:c>
      <x:c r="K27" s="12" t="n">
        <x:f>ROUND((H27*0.40+I27*0.25+J27*0.35),1)</x:f>
        <x:v>4.4</x:v>
      </x:c>
      <x:c r="L27" s="12" t="str">
        <x:v>Use for WordPress sites where editorial workflow matters.</x:v>
      </x:c>
      <x:c r="M27" s="12" t="str">
        <x:v>Need security and compatibility review before production.</x:v>
      </x:c>
      <x:c r="N27" s="12" t="str">
        <x:v>GitHub search result</x:v>
      </x:c>
      <x:c r="O27" s="12" t="str">
        <x:v>A</x:v>
      </x:c>
      <x:c r="P27" s="12" t="str">
        <x:v>size 593; public; not archived</x:v>
      </x:c>
      <x:c r="Q27" s="12" t="str">
        <x:v>Good CMS-oriented candidate.</x:v>
      </x:c>
    </x:row>
    <x:row r="28" ht="26.399999618530273" hidden="0" customHeight="1">
      <x:c r="A28" s="12" t="str">
        <x:v>vaneavasco/llmstxt-wp</x:v>
      </x:c>
      <x:c r="B28" s="12" t="str">
        <x:v>https://github.com/vaneavasco/llmstxt-wp</x:v>
      </x:c>
      <x:c r="C28" s="12" t="str">
        <x:v>CMS plugin</x:v>
      </x:c>
      <x:c r="D28" s="12" t="str">
        <x:v>WordPress plugin</x:v>
      </x:c>
      <x:c r="E28" s="12" t="str">
        <x:v>Alternative WordPress llms.txt plugin.</x:v>
      </x:c>
      <x:c r="F28" s="12" t="str">
        <x:v>High for WordPress AIO/GEO readiness.</x:v>
      </x:c>
      <x:c r="G28" s="12" t="str">
        <x:v>PHP / WordPress</x:v>
      </x:c>
      <x:c r="H28" s="12" t="n">
        <x:v>3</x:v>
      </x:c>
      <x:c r="I28" s="12" t="n">
        <x:v>3</x:v>
      </x:c>
      <x:c r="J28" s="12" t="n">
        <x:v>5</x:v>
      </x:c>
      <x:c r="K28" s="12" t="n">
        <x:f>ROUND((H28*0.40+I28*0.25+J28*0.35),1)</x:f>
        <x:v>3.7</x:v>
      </x:c>
      <x:c r="L28" s="12" t="str">
        <x:v>Compare against WP-Autoplugin plugin for features and maintenance.</x:v>
      </x:c>
      <x:c r="M28" s="12" t="str">
        <x:v>Small repo; verify admin UI, security, and update process.</x:v>
      </x:c>
      <x:c r="N28" s="12" t="str">
        <x:v>GitHub search result</x:v>
      </x:c>
      <x:c r="O28" s="12" t="str">
        <x:v>B</x:v>
      </x:c>
      <x:c r="P28" s="12" t="str">
        <x:v>size 81; public; not archived</x:v>
      </x:c>
      <x:c r="Q28" s="12" t="str">
        <x:v>Worth checking as alternative.</x:v>
      </x:c>
    </x:row>
    <x:row r="29" ht="26.399999618530273" hidden="0" customHeight="1">
      <x:c r="A29" s="12" t="str">
        <x:v>robertdevore/llms-txt-generator</x:v>
      </x:c>
      <x:c r="B29" s="12" t="str">
        <x:v>https://github.com/robertdevore/llms-txt-generator</x:v>
      </x:c>
      <x:c r="C29" s="12" t="str">
        <x:v>llms.txt generator</x:v>
      </x:c>
      <x:c r="D29" s="12" t="str">
        <x:v>Generator tool</x:v>
      </x:c>
      <x:c r="E29" s="12" t="str">
        <x:v>Small generator focused on llms.txt output.</x:v>
      </x:c>
      <x:c r="F29" s="12" t="str">
        <x:v>Medium-high: targeted artifact generation, likely simpler than Firecrawl.</x:v>
      </x:c>
      <x:c r="G29" s="12" t="str">
        <x:v>Unknown</x:v>
      </x:c>
      <x:c r="H29" s="12" t="n">
        <x:v>3</x:v>
      </x:c>
      <x:c r="I29" s="12" t="n">
        <x:v>3</x:v>
      </x:c>
      <x:c r="J29" s="12" t="n">
        <x:v>4</x:v>
      </x:c>
      <x:c r="K29" s="12" t="n">
        <x:f>ROUND((H29*0.40+I29*0.25+J29*0.35),1)</x:f>
        <x:v>3.4</x:v>
      </x:c>
      <x:c r="L29" s="12" t="str">
        <x:v>Use for lightweight generation logic comparison.</x:v>
      </x:c>
      <x:c r="M29" s="12" t="str">
        <x:v>Small repo; likely limited crawling and scoring features.</x:v>
      </x:c>
      <x:c r="N29" s="12" t="str">
        <x:v>GitHub search result</x:v>
      </x:c>
      <x:c r="O29" s="12" t="str">
        <x:v>B</x:v>
      </x:c>
      <x:c r="P29" s="12" t="str">
        <x:v>size 139; public; not archived</x:v>
      </x:c>
      <x:c r="Q29" s="12" t="str">
        <x:v>Simple generator candidate.</x:v>
      </x:c>
    </x:row>
    <x:row r="30" ht="26.399999618530273" hidden="0" customHeight="1">
      <x:c r="A30" s="12" t="str">
        <x:v>aircodelabs/llms-txt-generator</x:v>
      </x:c>
      <x:c r="B30" s="12" t="str">
        <x:v>https://github.com/aircodelabs/llms-txt-generator</x:v>
      </x:c>
      <x:c r="C30" s="12" t="str">
        <x:v>llms.txt generator</x:v>
      </x:c>
      <x:c r="D30" s="12" t="str">
        <x:v>Generator tool</x:v>
      </x:c>
      <x:c r="E30" s="12" t="str">
        <x:v>Generator found in llms.txt search with modest code size.</x:v>
      </x:c>
      <x:c r="F30" s="12" t="str">
        <x:v>Medium-high for llms.txt artifact generation.</x:v>
      </x:c>
      <x:c r="G30" s="12" t="str">
        <x:v>Unknown</x:v>
      </x:c>
      <x:c r="H30" s="12" t="n">
        <x:v>3</x:v>
      </x:c>
      <x:c r="I30" s="12" t="n">
        <x:v>3</x:v>
      </x:c>
      <x:c r="J30" s="12" t="n">
        <x:v>4</x:v>
      </x:c>
      <x:c r="K30" s="12" t="n">
        <x:f>ROUND((H30*0.40+I30*0.25+J30*0.35),1)</x:f>
        <x:v>3.4</x:v>
      </x:c>
      <x:c r="L30" s="12" t="str">
        <x:v>Review if you need simple self-hostable generator examples.</x:v>
      </x:c>
      <x:c r="M30" s="12" t="str">
        <x:v>May duplicate other generators; inspect docs before using.</x:v>
      </x:c>
      <x:c r="N30" s="12" t="str">
        <x:v>GitHub search result</x:v>
      </x:c>
      <x:c r="O30" s="12" t="str">
        <x:v>B</x:v>
      </x:c>
      <x:c r="P30" s="12" t="str">
        <x:v>size 161; public; not archived</x:v>
      </x:c>
      <x:c r="Q30" s="12" t="str">
        <x:v>Secondary generator.</x:v>
      </x:c>
    </x:row>
    <x:row r="31" ht="26.399999618530273" hidden="0" customHeight="1">
      <x:c r="A31" s="12" t="str">
        <x:v>Webflow-Examples/llms-txt-generator-webapp</x:v>
      </x:c>
      <x:c r="B31" s="12" t="str">
        <x:v>https://github.com/Webflow-Examples/llms-txt-generator-webapp</x:v>
      </x:c>
      <x:c r="C31" s="12" t="str">
        <x:v>llms.txt generator</x:v>
      </x:c>
      <x:c r="D31" s="12" t="str">
        <x:v>Web app</x:v>
      </x:c>
      <x:c r="E31" s="12" t="str">
        <x:v>Webapp example for generating llms.txt, likely useful for Webflow/site-builder teams.</x:v>
      </x:c>
      <x:c r="F31" s="12" t="str">
        <x:v>High for content teams needing a UI-first generator.</x:v>
      </x:c>
      <x:c r="G31" s="12" t="str">
        <x:v>Web app / JS</x:v>
      </x:c>
      <x:c r="H31" s="12" t="n">
        <x:v>4</x:v>
      </x:c>
      <x:c r="I31" s="12" t="n">
        <x:v>3</x:v>
      </x:c>
      <x:c r="J31" s="12" t="n">
        <x:v>4</x:v>
      </x:c>
      <x:c r="K31" s="12" t="n">
        <x:f>ROUND((H31*0.40+I31*0.25+J31*0.35),1)</x:f>
        <x:v>3.8</x:v>
      </x:c>
      <x:c r="L31" s="12" t="str">
        <x:v>Use as UI pattern for internal generator.</x:v>
      </x:c>
      <x:c r="M31" s="12" t="str">
        <x:v>Example repo; verify production readiness.</x:v>
      </x:c>
      <x:c r="N31" s="12" t="str">
        <x:v>GitHub search result</x:v>
      </x:c>
      <x:c r="O31" s="12" t="str">
        <x:v>B</x:v>
      </x:c>
      <x:c r="P31" s="12" t="str">
        <x:v>size 3432; public; not archived</x:v>
      </x:c>
      <x:c r="Q31" s="12" t="str">
        <x:v>Good UX reference.</x:v>
      </x:c>
    </x:row>
    <x:row r="32" ht="26.399999618530273" hidden="0" customHeight="1">
      <x:c r="A32" s="12" t="str">
        <x:v>dotenvx/llmstxt</x:v>
      </x:c>
      <x:c r="B32" s="12" t="str">
        <x:v>https://github.com/dotenvx/llmstxt</x:v>
      </x:c>
      <x:c r="C32" s="12" t="str">
        <x:v>llms.txt tool</x:v>
      </x:c>
      <x:c r="D32" s="12" t="str">
        <x:v>CLI / utility</x:v>
      </x:c>
      <x:c r="E32" s="12" t="str">
        <x:v>Utility repo around llms.txt; size suggests more than a bare README.</x:v>
      </x:c>
      <x:c r="F32" s="12" t="str">
        <x:v>Medium-high for developer workflow integration.</x:v>
      </x:c>
      <x:c r="G32" s="12" t="str">
        <x:v>Unknown</x:v>
      </x:c>
      <x:c r="H32" s="12" t="n">
        <x:v>3</x:v>
      </x:c>
      <x:c r="I32" s="12" t="n">
        <x:v>4</x:v>
      </x:c>
      <x:c r="J32" s="12" t="n">
        <x:v>4</x:v>
      </x:c>
      <x:c r="K32" s="12" t="n">
        <x:f>ROUND((H32*0.40+I32*0.25+J32*0.35),1)</x:f>
        <x:v>3.6</x:v>
      </x:c>
      <x:c r="L32" s="12" t="str">
        <x:v>Check for CLI usage, validation, or generation pipelines.</x:v>
      </x:c>
      <x:c r="M32" s="12" t="str">
        <x:v>Scope ambiguous until README review.</x:v>
      </x:c>
      <x:c r="N32" s="12" t="str">
        <x:v>GitHub search result</x:v>
      </x:c>
      <x:c r="O32" s="12" t="str">
        <x:v>B</x:v>
      </x:c>
      <x:c r="P32" s="12" t="str">
        <x:v>size 2843; public; not archived</x:v>
      </x:c>
      <x:c r="Q32" s="12" t="str">
        <x:v>Possible devtool.</x:v>
      </x:c>
    </x:row>
    <x:row r="33" ht="26.399999618530273" hidden="0" customHeight="1">
      <x:c r="A33" s="12" t="str">
        <x:v>thedaviddias/mcp-llms-txt-explorer</x:v>
      </x:c>
      <x:c r="B33" s="12" t="str">
        <x:v>https://github.com/thedaviddias/mcp-llms-txt-explorer</x:v>
      </x:c>
      <x:c r="C33" s="12" t="str">
        <x:v>MCP / discovery</x:v>
      </x:c>
      <x:c r="D33" s="12" t="str">
        <x:v>MCP explorer</x:v>
      </x:c>
      <x:c r="E33" s="12" t="str">
        <x:v>MCP tool for exploring llms.txt resources.</x:v>
      </x:c>
      <x:c r="F33" s="12" t="str">
        <x:v>Good for agent-accessible discovery and internal research workflows.</x:v>
      </x:c>
      <x:c r="G33" s="12" t="str">
        <x:v>MCP / likely TypeScript</x:v>
      </x:c>
      <x:c r="H33" s="12" t="n">
        <x:v>3</x:v>
      </x:c>
      <x:c r="I33" s="12" t="n">
        <x:v>3</x:v>
      </x:c>
      <x:c r="J33" s="12" t="n">
        <x:v>4</x:v>
      </x:c>
      <x:c r="K33" s="12" t="n">
        <x:f>ROUND((H33*0.40+I33*0.25+J33*0.35),1)</x:f>
        <x:v>3.4</x:v>
      </x:c>
      <x:c r="L33" s="12" t="str">
        <x:v>Use as agent tool pattern for browsing llms.txt directory or sites.</x:v>
      </x:c>
      <x:c r="M33" s="12" t="str">
        <x:v>Small repo; MCP maturity should be validated.</x:v>
      </x:c>
      <x:c r="N33" s="12" t="str">
        <x:v>GitHub search result</x:v>
      </x:c>
      <x:c r="O33" s="12" t="str">
        <x:v>B</x:v>
      </x:c>
      <x:c r="P33" s="12" t="str">
        <x:v>size 42; public; not archived</x:v>
      </x:c>
      <x:c r="Q33" s="12" t="str">
        <x:v>Interesting for agent workflows.</x:v>
      </x:c>
    </x:row>
    <x:row r="34" ht="26.399999618530273" hidden="0" customHeight="1">
      <x:c r="A34" s="12" t="str">
        <x:v>langchain-ai/mcpdoc</x:v>
      </x:c>
      <x:c r="B34" s="12" t="str">
        <x:v>https://github.com/langchain-ai/mcpdoc</x:v>
      </x:c>
      <x:c r="C34" s="12" t="str">
        <x:v>MCP / docs access</x:v>
      </x:c>
      <x:c r="D34" s="12" t="str">
        <x:v>Documentation MCP</x:v>
      </x:c>
      <x:c r="E34" s="12" t="str">
        <x:v>LangChain project for serving documentation to agents/MCP clients.</x:v>
      </x:c>
      <x:c r="F34" s="12" t="str">
        <x:v>Medium-high: improves agent consumption of docs, adjacent to llms.txt and AIO docs discoverability.</x:v>
      </x:c>
      <x:c r="G34" s="12" t="str">
        <x:v>MCP / Python or JS</x:v>
      </x:c>
      <x:c r="H34" s="12" t="n">
        <x:v>4</x:v>
      </x:c>
      <x:c r="I34" s="12" t="n">
        <x:v>4</x:v>
      </x:c>
      <x:c r="J34" s="12" t="n">
        <x:v>4</x:v>
      </x:c>
      <x:c r="K34" s="12" t="n">
        <x:f>ROUND((H34*0.40+I34*0.25+J34*0.35),1)</x:f>
        <x:v>4</x:v>
      </x:c>
      <x:c r="L34" s="12" t="str">
        <x:v>Use for docs-as-tooling and agent-ready documentation portals.</x:v>
      </x:c>
      <x:c r="M34" s="12" t="str">
        <x:v>Not a GEO optimizer; more infrastructure for LLM-readable docs.</x:v>
      </x:c>
      <x:c r="N34" s="12" t="str">
        <x:v>GitHub search result</x:v>
      </x:c>
      <x:c r="O34" s="12" t="str">
        <x:v>B</x:v>
      </x:c>
      <x:c r="P34" s="12" t="str">
        <x:v>size 319; public; not archived</x:v>
      </x:c>
      <x:c r="Q34" s="12" t="str">
        <x:v>Strong org signal and relevant infrastructure.</x:v>
      </x:c>
    </x:row>
    <x:row r="35" ht="26.399999618530273" hidden="0" customHeight="1">
      <x:c r="A35" s="12" t="str">
        <x:v>mage-os-lab/llms.txt</x:v>
      </x:c>
      <x:c r="B35" s="12" t="str">
        <x:v>https://github.com/mage-os-lab/llms.txt</x:v>
      </x:c>
      <x:c r="C35" s="12" t="str">
        <x:v>Platform plugin</x:v>
      </x:c>
      <x:c r="D35" s="12" t="str">
        <x:v>Magento / Mage-OS</x:v>
      </x:c>
      <x:c r="E35" s="12" t="str">
        <x:v>Repo named for llms.txt in Mage-OS ecosystem.</x:v>
      </x:c>
      <x:c r="F35" s="12" t="str">
        <x:v>High for ecommerce/CMS teams if it generates product/category guidance for LLMs.</x:v>
      </x:c>
      <x:c r="G35" s="12" t="str">
        <x:v>Likely PHP / Magento</x:v>
      </x:c>
      <x:c r="H35" s="12" t="n">
        <x:v>3</x:v>
      </x:c>
      <x:c r="I35" s="12" t="n">
        <x:v>3</x:v>
      </x:c>
      <x:c r="J35" s="12" t="n">
        <x:v>4</x:v>
      </x:c>
      <x:c r="K35" s="12" t="n">
        <x:f>ROUND((H35*0.40+I35*0.25+J35*0.35),1)</x:f>
        <x:v>3.4</x:v>
      </x:c>
      <x:c r="L35" s="12" t="str">
        <x:v>Review if your use case is ecommerce catalog discoverability.</x:v>
      </x:c>
      <x:c r="M35" s="12" t="str">
        <x:v>Specific platform; validate compatibility and content policy.</x:v>
      </x:c>
      <x:c r="N35" s="12" t="str">
        <x:v>GitHub search result</x:v>
      </x:c>
      <x:c r="O35" s="12" t="str">
        <x:v>B</x:v>
      </x:c>
      <x:c r="P35" s="12" t="str">
        <x:v>size 97; public; not archived</x:v>
      </x:c>
      <x:c r="Q35" s="12" t="str">
        <x:v>Good vertical candidate.</x:v>
      </x:c>
    </x:row>
    <x:row r="36" ht="39.599998474121094" hidden="0" customHeight="1">
      <x:c r="A36" s="12" t="str">
        <x:v>cxcscmu/Craw4LLM</x:v>
      </x:c>
      <x:c r="B36" s="12" t="str">
        <x:v>https://github.com/cxcscmu/Craw4LLM</x:v>
      </x:c>
      <x:c r="C36" s="12" t="str">
        <x:v>LLM-oriented crawling</x:v>
      </x:c>
      <x:c r="D36" s="12" t="str">
        <x:v>Pretraining crawl scheduler</x:v>
      </x:c>
      <x:c r="E36" s="12" t="str">
        <x:v>Research code for crawling pages according to LLM pretraining usefulness rather than generic graph priority.</x:v>
      </x:c>
      <x:c r="F36" s="12" t="str">
        <x:v>Indirect: helps understand how LLM-optimized crawlers might select pages, useful for AIO/GEO technical strategy.</x:v>
      </x:c>
      <x:c r="G36" s="12" t="str">
        <x:v>Research / crawler</x:v>
      </x:c>
      <x:c r="H36" s="12" t="n">
        <x:v>4</x:v>
      </x:c>
      <x:c r="I36" s="12" t="n">
        <x:v>2</x:v>
      </x:c>
      <x:c r="J36" s="12" t="n">
        <x:v>3</x:v>
      </x:c>
      <x:c r="K36" s="12" t="n">
        <x:f>ROUND((H36*0.40+I36*0.25+J36*0.35),1)</x:f>
        <x:v>3.2</x:v>
      </x:c>
      <x:c r="L36" s="12" t="str">
        <x:v>Use for crawler-side thinking, not direct website optimization.</x:v>
      </x:c>
      <x:c r="M36" s="12" t="str">
        <x:v>Pretraining data focus, not brand visibility optimization.</x:v>
      </x:c>
      <x:c r="N36" s="12" t="str">
        <x:v>arXiv Craw4LLM</x:v>
      </x:c>
      <x:c r="O36" s="12" t="str">
        <x:v>C</x:v>
      </x:c>
      <x:c r="P36" s="12" t="str">
        <x:v>public code referenced by paper</x:v>
      </x:c>
      <x:c r="Q36" s="12" t="str">
        <x:v>Related but not core GEO/AIO.</x:v>
      </x:c>
    </x:row>
    <x:row r="37" ht="39.599998474121094" hidden="0" customHeight="1">
      <x:c r="A37" s="12" t="str">
        <x:v>unclecode/crawl4ai</x:v>
      </x:c>
      <x:c r="B37" s="12" t="str">
        <x:v>https://github.com/unclecode/crawl4ai</x:v>
      </x:c>
      <x:c r="C37" s="12" t="str">
        <x:v>LLM-ready extraction</x:v>
      </x:c>
      <x:c r="D37" s="12" t="str">
        <x:v>Crawler to Markdown</x:v>
      </x:c>
      <x:c r="E37" s="12" t="str">
        <x:v>Open-source crawler/extractor designed to convert web pages into LLM-friendly structured/Markdown output.</x:v>
      </x:c>
      <x:c r="F37" s="12" t="str">
        <x:v>Indirect but useful: supports audits, llms.txt generation, and RAG-ready content extraction.</x:v>
      </x:c>
      <x:c r="G37" s="12" t="str">
        <x:v>Python / crawler</x:v>
      </x:c>
      <x:c r="H37" s="12" t="n">
        <x:v>4</x:v>
      </x:c>
      <x:c r="I37" s="12" t="n">
        <x:v>4</x:v>
      </x:c>
      <x:c r="J37" s="12" t="n">
        <x:v>3</x:v>
      </x:c>
      <x:c r="K37" s="12" t="n">
        <x:f>ROUND((H37*0.40+I37*0.25+J37*0.35),1)</x:f>
        <x:v>3.7</x:v>
      </x:c>
      <x:c r="L37" s="12" t="str">
        <x:v>Use as extraction layer under GEO/AIO audits and generators.</x:v>
      </x:c>
      <x:c r="M37" s="12" t="str">
        <x:v>Crawler behavior must respect robots, terms, and rate limits.</x:v>
      </x:c>
      <x:c r="N37" s="12" t="str">
        <x:v>Public GitHub repo / ecosystem knowledge</x:v>
      </x:c>
      <x:c r="O37" s="12" t="str">
        <x:v>B</x:v>
      </x:c>
      <x:c r="P37" s="12" t="str">
        <x:v>well-known LLM crawling project</x:v>
      </x:c>
      <x:c r="Q37" s="12" t="str">
        <x:v>Add to stack layer, not as GEO optimizer.</x:v>
      </x:c>
    </x:row>
    <x:row r="38" ht="26.399999618530273" hidden="0" customHeight="1">
      <x:c r="A38" s="12" t="str">
        <x:v>microsoft/markitdown</x:v>
      </x:c>
      <x:c r="B38" s="12" t="str">
        <x:v>https://github.com/microsoft/markitdown</x:v>
      </x:c>
      <x:c r="C38" s="12" t="str">
        <x:v>LLM-ready conversion</x:v>
      </x:c>
      <x:c r="D38" s="12" t="str">
        <x:v>Document to Markdown</x:v>
      </x:c>
      <x:c r="E38" s="12" t="str">
        <x:v>Converts files/documents into Markdown suitable for LLM consumption.</x:v>
      </x:c>
      <x:c r="F38" s="12" t="str">
        <x:v>Indirect: useful for turning PDFs/docs into clean inputs for llms-full.txt, RAG, and AI search pages.</x:v>
      </x:c>
      <x:c r="G38" s="12" t="str">
        <x:v>Python</x:v>
      </x:c>
      <x:c r="H38" s="12" t="n">
        <x:v>4</x:v>
      </x:c>
      <x:c r="I38" s="12" t="n">
        <x:v>4</x:v>
      </x:c>
      <x:c r="J38" s="12" t="n">
        <x:v>3</x:v>
      </x:c>
      <x:c r="K38" s="12" t="n">
        <x:f>ROUND((H38*0.40+I38*0.25+J38*0.35),1)</x:f>
        <x:v>3.7</x:v>
      </x:c>
      <x:c r="L38" s="12" t="str">
        <x:v>Use for content normalization before publishing LLM-readable resources.</x:v>
      </x:c>
      <x:c r="M38" s="12" t="str">
        <x:v>Not search/GEO-specific; only content conversion layer.</x:v>
      </x:c>
      <x:c r="N38" s="12" t="str">
        <x:v>Public GitHub repo / ecosystem knowledge</x:v>
      </x:c>
      <x:c r="O38" s="12" t="str">
        <x:v>B</x:v>
      </x:c>
      <x:c r="P38" s="12" t="str">
        <x:v>major org signal</x:v>
      </x:c>
      <x:c r="Q38" s="12" t="str">
        <x:v>Useful infrastructure component.</x:v>
      </x:c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H2:K3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O2:O38">
    <x:cfRule type="expression" dxfId="0" priority="2">
      <x:formula>O2="A"</x:formula>
    </x:cfRule>
    <x:cfRule type="expression" dxfId="1" priority="3">
      <x:formula>O2="C"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85c9a4ab3346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  <x:col min="3" max="3" width="54" hidden="0" customWidth="1"/>
    <x:col min="4" max="4" width="12" hidden="0" customWidth="1"/>
  </x:cols>
  <x:sheetData>
    <x:row r="1" ht="15" hidden="0" customHeight="1">
      <x:c r="A1" s="31" t="str">
        <x:v>Use case</x:v>
      </x:c>
      <x:c r="B1" s="31" t="str">
        <x:v>Recommended repos</x:v>
      </x:c>
      <x:c r="C1" s="31" t="str">
        <x:v>Why</x:v>
      </x:c>
      <x:c r="D1" s="31" t="str">
        <x:v>Priority</x:v>
      </x:c>
    </x:row>
    <x:row r="2" ht="26.399999618530273" hidden="0" customHeight="1">
      <x:c r="A2" s="12" t="str">
        <x:v>Spec and foundation</x:v>
      </x:c>
      <x:c r="B2" s="12" t="str">
        <x:v>AnswerDotAI/llms-txt</x:v>
      </x:c>
      <x:c r="C2" s="12" t="str">
        <x:v>Start here for format decisions, file structure, and llms-full.txt guidance.</x:v>
      </x:c>
      <x:c r="D2" s="12" t="str">
        <x:v>A</x:v>
      </x:c>
    </x:row>
    <x:row r="3" ht="26.399999618530273" hidden="0" customHeight="1">
      <x:c r="A3" s="12" t="str">
        <x:v>Quick llms.txt generation</x:v>
      </x:c>
      <x:c r="B3" s="12" t="str">
        <x:v>firecrawl/llmstxt-generator</x:v>
      </x:c>
      <x:c r="C3" s="12" t="str">
        <x:v>Best practical starting point for crawling a site and producing first draft output.</x:v>
      </x:c>
      <x:c r="D3" s="12" t="str">
        <x:v>A</x:v>
      </x:c>
    </x:row>
    <x:row r="4" ht="26.399999618530273" hidden="0" customHeight="1">
      <x:c r="A4" s="12" t="str">
        <x:v>Docs sites</x:v>
      </x:c>
      <x:c r="B4" s="12" t="str">
        <x:v>pawamoy/mkdocs-llmstxt; jdillard/sphinx-llms-txt; delucis/starlight-llms-txt</x:v>
      </x:c>
      <x:c r="C4" s="12" t="str">
        <x:v>Choose based on docs framework; these are more deployable than generic GEO repos.</x:v>
      </x:c>
      <x:c r="D4" s="12" t="str">
        <x:v>A</x:v>
      </x:c>
    </x:row>
    <x:row r="5" ht="26.399999618530273" hidden="0" customHeight="1">
      <x:c r="A5" s="12" t="str">
        <x:v>WordPress / CMS</x:v>
      </x:c>
      <x:c r="B5" s="12" t="str">
        <x:v>WP-Autoplugin/llms-txt-for-wp; vaneavasco/llmstxt-wp</x:v>
      </x:c>
      <x:c r="C5" s="12" t="str">
        <x:v>Use for editorial sites where non-engineers need automatic updates.</x:v>
      </x:c>
      <x:c r="D5" s="12" t="str">
        <x:v>A/B</x:v>
      </x:c>
    </x:row>
    <x:row r="6" ht="26.399999618530273" hidden="0" customHeight="1">
      <x:c r="A6" s="12" t="str">
        <x:v>Research-grade optimizer</x:v>
      </x:c>
      <x:c r="B6" s="12" t="str">
        <x:v>AIcling/agentic_geo; Wu-beining/MAGEO; GEO-optim/GEO</x:v>
      </x:c>
      <x:c r="C6" s="12" t="str">
        <x:v>Use for building measurement, rewriting, and evaluation rather than one-click deployment.</x:v>
      </x:c>
      <x:c r="D6" s="12" t="str">
        <x:v>A</x:v>
      </x:c>
    </x:row>
    <x:row r="7" ht="15" hidden="0" customHeight="1">
      <x:c r="A7" s="12" t="str">
        <x:v>AEO/AIO product references</x:v>
      </x:c>
      <x:c r="B7" s="12" t="str">
        <x:v>answer-engine/aeo; searchstack-aeo; surgeAIO; geo-checker</x:v>
      </x:c>
      <x:c r="C7" s="12" t="str">
        <x:v>Review for UI, reporting, and measurement workflows.</x:v>
      </x:c>
      <x:c r="D7" s="12" t="str">
        <x:v>B</x:v>
      </x:c>
    </x:row>
    <x:row r="8" ht="26.399999618530273" hidden="0" customHeight="1">
      <x:c r="A8" s="12" t="str">
        <x:v>LLM-ready content extraction layer</x:v>
      </x:c>
      <x:c r="B8" s="12" t="str">
        <x:v>unclecode/crawl4ai; microsoft/markitdown</x:v>
      </x:c>
      <x:c r="C8" s="12" t="str">
        <x:v>Use underneath generators and audits to normalize messy web/docs into Markdown.</x:v>
      </x:c>
      <x:c r="D8" s="12" t="str">
        <x:v>B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0c6a70b9772946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15" hidden="0" customHeight="1">
      <x:c r="A1" s="3" t="str">
        <x:v>Dimension</x:v>
      </x:c>
      <x:c r="B1" s="3" t="str">
        <x:v>Meaning</x:v>
      </x:c>
    </x:row>
    <x:row r="2" ht="26.399999618530273" hidden="0" customHeight="1">
      <x:c r="A2" s="12" t="str">
        <x:v>Completeness</x:v>
      </x:c>
      <x:c r="B2" s="12" t="str">
        <x:v>1=stub/readme only; 3=working prototype or focused plugin; 5=well-structured repo with docs, modules, quickstart, and examples.</x:v>
      </x:c>
    </x:row>
    <x:row r="3" ht="15" hidden="0" customHeight="1">
      <x:c r="A3" s="12" t="str">
        <x:v>Implementation readiness</x:v>
      </x:c>
      <x:c r="B3" s="12" t="str">
        <x:v>1=concept only; 3=can run after setup but needs engineering; 5=straightforward install/deploy or framework plugin.</x:v>
      </x:c>
    </x:row>
    <x:row r="4" ht="26.399999618530273" hidden="0" customHeight="1">
      <x:c r="A4" s="12" t="str">
        <x:v>GEO/AIO relevance</x:v>
      </x:c>
      <x:c r="B4" s="12" t="str">
        <x:v>1=only tangential LLM utility; 3=useful infrastructure for LLM-readable content; 5=directly targets GEO, AIO, AEO, LLM visibility, llms.txt, citations, or generated-answer metrics.</x:v>
      </x:c>
    </x:row>
    <x:row r="5" ht="15" hidden="0" customHeight="1">
      <x:c r="A5" s="12" t="str">
        <x:v>Priority A</x:v>
      </x:c>
      <x:c r="B5" s="12" t="str">
        <x:v>High confidence candidate for immediate review or prototype.</x:v>
      </x:c>
    </x:row>
    <x:row r="6" ht="15" hidden="0" customHeight="1">
      <x:c r="A6" s="12" t="str">
        <x:v>Priority B</x:v>
      </x:c>
      <x:c r="B6" s="12" t="str">
        <x:v>Relevant and potentially useful; manual README/code review needed.</x:v>
      </x:c>
    </x:row>
    <x:row r="7" ht="15" hidden="0" customHeight="1">
      <x:c r="A7" s="12" t="str">
        <x:v>Priority C</x:v>
      </x:c>
      <x:c r="B7" s="12" t="str">
        <x:v>Secondary or ambiguous; include for landscape awareness only.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c2df1544c2d943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90" hidden="0" customWidth="1"/>
  </x:cols>
  <x:sheetData>
    <x:row r="1" ht="15" hidden="0" customHeight="1">
      <x:c r="A1" s="3" t="str">
        <x:v>Bucket</x:v>
      </x:c>
      <x:c r="B1" s="3" t="str">
        <x:v>Decision</x:v>
      </x:c>
      <x:c r="C1" s="3" t="str">
        <x:v>Reason</x:v>
      </x:c>
    </x:row>
    <x:row r="2" ht="15" hidden="0" customHeight="1">
      <x:c r="A2" s="12" t="str">
        <x:v>GeoIP / IP geolocation</x:v>
      </x:c>
      <x:c r="B2" s="12" t="str">
        <x:v>Excluded</x:v>
      </x:c>
      <x:c r="C2" s="12" t="str">
        <x:v>The corrected scope is GEO/AIO for generative engines, not geographic/IP detection.</x:v>
      </x:c>
    </x:row>
    <x:row r="3" ht="15" hidden="0" customHeight="1">
      <x:c r="A3" s="12" t="str">
        <x:v>Pure classic SEO tools</x:v>
      </x:c>
      <x:c r="B3" s="12" t="str">
        <x:v>Mostly excluded</x:v>
      </x:c>
      <x:c r="C3" s="12" t="str">
        <x:v>Included only if they explicitly target AEO, AI Overview, LLMO, GEO, or llms.txt.</x:v>
      </x:c>
    </x:row>
    <x:row r="4" ht="15" hidden="0" customHeight="1">
      <x:c r="A4" s="12" t="str">
        <x:v>Tiny empty demos</x:v>
      </x:c>
      <x:c r="B4" s="12" t="str">
        <x:v>Mostly excluded</x:v>
      </x:c>
      <x:c r="C4" s="12" t="str">
        <x:v>Very small repos were included only when the name/scope was directly on-topic; otherwise skipped.</x:v>
      </x:c>
    </x:row>
    <x:row r="5" ht="15" hidden="0" customHeight="1">
      <x:c r="A5" s="12" t="str">
        <x:v>Geospatial GIS repos</x:v>
      </x:c>
      <x:c r="B5" s="12" t="str">
        <x:v>Excluded</x:v>
      </x:c>
      <x:c r="C5" s="12" t="str">
        <x:v>Repositories using geo for maps/spatial data are not related to LLM visibility optimization.</x:v>
      </x:c>
    </x:row>
    <x:row r="6" ht="26.399999618530273" hidden="0" customHeight="1">
      <x:c r="A6" s="12" t="str">
        <x:v>Crawler bypass / anti-bot evasion</x:v>
      </x:c>
      <x:c r="B6" s="12" t="str">
        <x:v>Excluded</x:v>
      </x:c>
      <x:c r="C6" s="12" t="str">
        <x:v>Not appropriate for GEO/AIO optimization and can create legal/ethical risk.</x:v>
      </x:c>
    </x:row>
    <x:row r="7" ht="15" hidden="0" customHeight="1">
      <x:c r="A7" s="12" t="str">
        <x:v>Closed SaaS without open repo</x:v>
      </x:c>
      <x:c r="B7" s="12" t="str">
        <x:v>Excluded</x:v>
      </x:c>
      <x:c r="C7" s="12" t="str">
        <x:v>The user asked for open-source GitHub projects.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4baa8ac662b247cb"/>
  </x:tableParts>
</x:worksheet>
</file>